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EC2154F-4A36-4C93-9504-4E3AB1FB3134}" xr6:coauthVersionLast="36" xr6:coauthVersionMax="47" xr10:uidLastSave="{00000000-0000-0000-0000-000000000000}"/>
  <bookViews>
    <workbookView xWindow="0" yWindow="0" windowWidth="19200" windowHeight="6930" firstSheet="4" activeTab="9" xr2:uid="{00000000-000D-0000-FFFF-FFFF00000000}"/>
  </bookViews>
  <sheets>
    <sheet name="Profit &amp; Loss" sheetId="1" r:id="rId1"/>
    <sheet name="Quarters" sheetId="3" r:id="rId2"/>
    <sheet name="Balance Sheet" sheetId="2" r:id="rId3"/>
    <sheet name="cash flow screener" sheetId="10" r:id="rId4"/>
    <sheet name="Data Sheet" sheetId="6" r:id="rId5"/>
    <sheet name="HistoricalFs" sheetId="8" r:id="rId6"/>
    <sheet name="Ratio Analysis" sheetId="11" r:id="rId7"/>
    <sheet name="Forecasting" sheetId="13" r:id="rId8"/>
    <sheet name="DCF" sheetId="20" r:id="rId9"/>
    <sheet name="Intrinsic Value" sheetId="21" r:id="rId10"/>
  </sheets>
  <externalReferences>
    <externalReference r:id="rId11"/>
  </externalReference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6" i="20" l="1"/>
  <c r="E36" i="20"/>
  <c r="F36" i="20"/>
  <c r="G36" i="20"/>
  <c r="H36" i="20"/>
  <c r="I36" i="20"/>
  <c r="J36" i="20"/>
  <c r="K36" i="20"/>
  <c r="L36" i="20"/>
  <c r="M36" i="20"/>
  <c r="D35" i="20"/>
  <c r="E35" i="20"/>
  <c r="F35" i="20"/>
  <c r="G35" i="20"/>
  <c r="H35" i="20"/>
  <c r="I35" i="20"/>
  <c r="J35" i="20"/>
  <c r="K35" i="20"/>
  <c r="L35" i="20"/>
  <c r="M35" i="20"/>
  <c r="D34" i="20"/>
  <c r="E34" i="20"/>
  <c r="F34" i="20"/>
  <c r="G34" i="20"/>
  <c r="H34" i="20"/>
  <c r="I34" i="20"/>
  <c r="J34" i="20"/>
  <c r="K34" i="20"/>
  <c r="L34" i="20"/>
  <c r="M34" i="20"/>
  <c r="D33" i="20"/>
  <c r="E33" i="20"/>
  <c r="F33" i="20"/>
  <c r="G33" i="20"/>
  <c r="H33" i="20"/>
  <c r="I33" i="20"/>
  <c r="J33" i="20"/>
  <c r="K33" i="20"/>
  <c r="L33" i="20"/>
  <c r="M33" i="20"/>
  <c r="C36" i="20"/>
  <c r="C35" i="20"/>
  <c r="C34" i="20"/>
  <c r="C33" i="20"/>
  <c r="D32" i="20"/>
  <c r="E32" i="20"/>
  <c r="F32" i="20"/>
  <c r="G32" i="20"/>
  <c r="H32" i="20"/>
  <c r="I32" i="20"/>
  <c r="J32" i="20"/>
  <c r="K32" i="20"/>
  <c r="L32" i="20"/>
  <c r="M32" i="20"/>
  <c r="C32" i="20"/>
  <c r="M30" i="20"/>
  <c r="M29" i="20"/>
  <c r="M28" i="20"/>
  <c r="M27" i="20"/>
  <c r="M26" i="20"/>
  <c r="L30" i="20"/>
  <c r="L29" i="20"/>
  <c r="L28" i="20"/>
  <c r="L27" i="20"/>
  <c r="L26" i="20"/>
  <c r="K30" i="20"/>
  <c r="K29" i="20"/>
  <c r="K28" i="20"/>
  <c r="K27" i="20"/>
  <c r="K26" i="20"/>
  <c r="J30" i="20"/>
  <c r="J29" i="20"/>
  <c r="J28" i="20"/>
  <c r="J27" i="20"/>
  <c r="J26" i="20"/>
  <c r="I30" i="20"/>
  <c r="I29" i="20"/>
  <c r="I28" i="20"/>
  <c r="I27" i="20"/>
  <c r="I26" i="20"/>
  <c r="H30" i="20"/>
  <c r="H29" i="20"/>
  <c r="H28" i="20"/>
  <c r="H27" i="20"/>
  <c r="H26" i="20"/>
  <c r="G30" i="20"/>
  <c r="G27" i="20"/>
  <c r="G28" i="20"/>
  <c r="G29" i="20"/>
  <c r="G26" i="20"/>
  <c r="F30" i="20"/>
  <c r="F29" i="20"/>
  <c r="F27" i="20"/>
  <c r="F28" i="20"/>
  <c r="F26" i="20"/>
  <c r="E30" i="20"/>
  <c r="E29" i="20"/>
  <c r="E28" i="20"/>
  <c r="E27" i="20"/>
  <c r="E26" i="20"/>
  <c r="D30" i="20"/>
  <c r="D29" i="20"/>
  <c r="D28" i="20"/>
  <c r="D27" i="20"/>
  <c r="D26" i="20"/>
  <c r="C30" i="20"/>
  <c r="C29" i="20"/>
  <c r="C28" i="20"/>
  <c r="C27" i="20"/>
  <c r="C26" i="20"/>
  <c r="C5" i="2"/>
  <c r="B3" i="2"/>
  <c r="B4" i="2"/>
  <c r="G21" i="20" l="1"/>
  <c r="F21" i="20"/>
  <c r="E21" i="20"/>
  <c r="D21" i="20"/>
  <c r="C21" i="20"/>
  <c r="B21" i="20"/>
  <c r="G19" i="20"/>
  <c r="F19" i="20"/>
  <c r="E19" i="20"/>
  <c r="D19" i="20"/>
  <c r="C19" i="20"/>
  <c r="B19" i="20"/>
  <c r="G17" i="20"/>
  <c r="F17" i="20"/>
  <c r="E17" i="20"/>
  <c r="D17" i="20"/>
  <c r="C17" i="20"/>
  <c r="B17" i="20"/>
  <c r="G15" i="20"/>
  <c r="F15" i="20"/>
  <c r="D15" i="20"/>
  <c r="E15" i="20"/>
  <c r="C15" i="20"/>
  <c r="B15" i="20"/>
  <c r="G13" i="20"/>
  <c r="F13" i="20"/>
  <c r="E13" i="20"/>
  <c r="D13" i="20"/>
  <c r="C13" i="20"/>
  <c r="G11" i="20"/>
  <c r="F11" i="20"/>
  <c r="E11" i="20"/>
  <c r="D11" i="20"/>
  <c r="C11" i="20"/>
  <c r="G9" i="20"/>
  <c r="F9" i="20"/>
  <c r="E9" i="20"/>
  <c r="D9" i="20"/>
  <c r="C9" i="20"/>
  <c r="G7" i="20"/>
  <c r="F7" i="20"/>
  <c r="F5" i="20"/>
  <c r="G5" i="20"/>
  <c r="E7" i="20"/>
  <c r="D7" i="20"/>
  <c r="C7" i="20"/>
  <c r="E5" i="20"/>
  <c r="D5" i="20"/>
  <c r="C5" i="20"/>
  <c r="M12" i="13"/>
  <c r="L2" i="13"/>
  <c r="L5" i="13"/>
  <c r="L6" i="13" s="1"/>
  <c r="L7" i="13" s="1"/>
  <c r="L8" i="13" s="1"/>
  <c r="L9" i="13" s="1"/>
  <c r="L10" i="13" s="1"/>
  <c r="L11" i="13" s="1"/>
  <c r="L12" i="13" s="1"/>
  <c r="L13" i="13" s="1"/>
  <c r="L14" i="13" s="1"/>
  <c r="M4" i="13"/>
  <c r="M5" i="13" s="1"/>
  <c r="M6" i="13" s="1"/>
  <c r="M7" i="13" s="1"/>
  <c r="M8" i="13" s="1"/>
  <c r="M9" i="13" s="1"/>
  <c r="M10" i="13" s="1"/>
  <c r="M11" i="13" s="1"/>
  <c r="M13" i="13" s="1"/>
  <c r="M14" i="13" s="1"/>
  <c r="M15" i="13" s="1"/>
  <c r="M16" i="13" s="1"/>
  <c r="M17" i="13" s="1"/>
  <c r="M18" i="13" s="1"/>
  <c r="G2" i="13"/>
  <c r="H4" i="13"/>
  <c r="H5" i="13" s="1"/>
  <c r="H6" i="13" s="1"/>
  <c r="H7" i="13" s="1"/>
  <c r="H8" i="13" s="1"/>
  <c r="H9" i="13" s="1"/>
  <c r="H10" i="13" s="1"/>
  <c r="H11" i="13" s="1"/>
  <c r="H12" i="13" s="1"/>
  <c r="H13" i="13" s="1"/>
  <c r="H14" i="13" s="1"/>
  <c r="H15" i="13" s="1"/>
  <c r="H16" i="13" s="1"/>
  <c r="H17" i="13" s="1"/>
  <c r="H18" i="13" s="1"/>
  <c r="B2" i="13"/>
  <c r="G6" i="13"/>
  <c r="G7" i="13" s="1"/>
  <c r="G8" i="13" s="1"/>
  <c r="G9" i="13" s="1"/>
  <c r="G10" i="13" s="1"/>
  <c r="G11" i="13" s="1"/>
  <c r="G12" i="13" s="1"/>
  <c r="G13" i="13" s="1"/>
  <c r="G14" i="13" s="1"/>
  <c r="G5" i="13"/>
  <c r="D15" i="13"/>
  <c r="D16" i="13"/>
  <c r="E16" i="13" s="1"/>
  <c r="D17" i="13"/>
  <c r="E17" i="13" s="1"/>
  <c r="D18" i="13"/>
  <c r="E18" i="13" s="1"/>
  <c r="E5" i="13"/>
  <c r="D4" i="13" a="1"/>
  <c r="D4" i="13" s="1"/>
  <c r="C6" i="13"/>
  <c r="C7" i="13" s="1"/>
  <c r="C8" i="13" s="1"/>
  <c r="C9" i="13" s="1"/>
  <c r="C10" i="13" s="1"/>
  <c r="C11" i="13" s="1"/>
  <c r="C12" i="13" s="1"/>
  <c r="C13" i="13" s="1"/>
  <c r="C14" i="13" s="1"/>
  <c r="C15" i="13" s="1"/>
  <c r="C16" i="13" s="1"/>
  <c r="C17" i="13" s="1"/>
  <c r="C18" i="13" s="1"/>
  <c r="C5" i="13"/>
  <c r="C4" i="13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5" i="13"/>
  <c r="B2" i="11"/>
  <c r="L3" i="11"/>
  <c r="K3" i="11"/>
  <c r="J3" i="11"/>
  <c r="I3" i="11"/>
  <c r="H3" i="11"/>
  <c r="G3" i="11"/>
  <c r="F3" i="11"/>
  <c r="E3" i="11"/>
  <c r="D3" i="11"/>
  <c r="C3" i="11"/>
  <c r="D96" i="8"/>
  <c r="E96" i="8"/>
  <c r="F96" i="8"/>
  <c r="G96" i="8"/>
  <c r="H96" i="8"/>
  <c r="I96" i="8"/>
  <c r="J96" i="8"/>
  <c r="K96" i="8"/>
  <c r="L96" i="8"/>
  <c r="D97" i="8"/>
  <c r="E97" i="8"/>
  <c r="F97" i="8"/>
  <c r="G97" i="8"/>
  <c r="H97" i="8"/>
  <c r="I97" i="8"/>
  <c r="J97" i="8"/>
  <c r="K97" i="8"/>
  <c r="L97" i="8"/>
  <c r="D98" i="8"/>
  <c r="E98" i="8"/>
  <c r="F98" i="8"/>
  <c r="G98" i="8"/>
  <c r="H98" i="8"/>
  <c r="I98" i="8"/>
  <c r="J98" i="8"/>
  <c r="K98" i="8"/>
  <c r="L98" i="8"/>
  <c r="D99" i="8"/>
  <c r="E99" i="8"/>
  <c r="F99" i="8"/>
  <c r="G99" i="8"/>
  <c r="H99" i="8"/>
  <c r="I99" i="8"/>
  <c r="J99" i="8"/>
  <c r="K99" i="8"/>
  <c r="L99" i="8"/>
  <c r="D100" i="8"/>
  <c r="E100" i="8"/>
  <c r="F100" i="8"/>
  <c r="G100" i="8"/>
  <c r="H100" i="8"/>
  <c r="I100" i="8"/>
  <c r="J100" i="8"/>
  <c r="K100" i="8"/>
  <c r="L100" i="8"/>
  <c r="D101" i="8"/>
  <c r="E101" i="8"/>
  <c r="F101" i="8"/>
  <c r="G101" i="8"/>
  <c r="H101" i="8"/>
  <c r="I101" i="8"/>
  <c r="J101" i="8"/>
  <c r="K101" i="8"/>
  <c r="L101" i="8"/>
  <c r="D102" i="8"/>
  <c r="E102" i="8"/>
  <c r="F102" i="8"/>
  <c r="G102" i="8"/>
  <c r="H102" i="8"/>
  <c r="I102" i="8"/>
  <c r="J102" i="8"/>
  <c r="K102" i="8"/>
  <c r="L102" i="8"/>
  <c r="D103" i="8"/>
  <c r="E103" i="8"/>
  <c r="F103" i="8"/>
  <c r="G103" i="8"/>
  <c r="H103" i="8"/>
  <c r="I103" i="8"/>
  <c r="J103" i="8"/>
  <c r="K103" i="8"/>
  <c r="L103" i="8"/>
  <c r="D104" i="8"/>
  <c r="E104" i="8"/>
  <c r="F104" i="8"/>
  <c r="G104" i="8"/>
  <c r="H104" i="8"/>
  <c r="I104" i="8"/>
  <c r="J104" i="8"/>
  <c r="K104" i="8"/>
  <c r="L104" i="8"/>
  <c r="C97" i="8"/>
  <c r="C98" i="8"/>
  <c r="C99" i="8"/>
  <c r="C100" i="8"/>
  <c r="C101" i="8"/>
  <c r="C102" i="8"/>
  <c r="C103" i="8"/>
  <c r="C104" i="8"/>
  <c r="C96" i="8"/>
  <c r="D81" i="8"/>
  <c r="E81" i="8"/>
  <c r="F81" i="8"/>
  <c r="G81" i="8"/>
  <c r="H81" i="8"/>
  <c r="I81" i="8"/>
  <c r="J81" i="8"/>
  <c r="K81" i="8"/>
  <c r="L81" i="8"/>
  <c r="D82" i="8"/>
  <c r="E82" i="8"/>
  <c r="F82" i="8"/>
  <c r="G82" i="8"/>
  <c r="H82" i="8"/>
  <c r="I82" i="8"/>
  <c r="J82" i="8"/>
  <c r="K82" i="8"/>
  <c r="L82" i="8"/>
  <c r="D83" i="8"/>
  <c r="E83" i="8"/>
  <c r="F83" i="8"/>
  <c r="G83" i="8"/>
  <c r="H83" i="8"/>
  <c r="I83" i="8"/>
  <c r="J83" i="8"/>
  <c r="K83" i="8"/>
  <c r="L83" i="8"/>
  <c r="D84" i="8"/>
  <c r="E84" i="8"/>
  <c r="F84" i="8"/>
  <c r="G84" i="8"/>
  <c r="H84" i="8"/>
  <c r="I84" i="8"/>
  <c r="J84" i="8"/>
  <c r="K84" i="8"/>
  <c r="L84" i="8"/>
  <c r="D85" i="8"/>
  <c r="E85" i="8"/>
  <c r="F85" i="8"/>
  <c r="G85" i="8"/>
  <c r="H85" i="8"/>
  <c r="I85" i="8"/>
  <c r="J85" i="8"/>
  <c r="K85" i="8"/>
  <c r="L85" i="8"/>
  <c r="D86" i="8"/>
  <c r="E86" i="8"/>
  <c r="F86" i="8"/>
  <c r="G86" i="8"/>
  <c r="H86" i="8"/>
  <c r="I86" i="8"/>
  <c r="J86" i="8"/>
  <c r="K86" i="8"/>
  <c r="L86" i="8"/>
  <c r="D87" i="8"/>
  <c r="E87" i="8"/>
  <c r="F87" i="8"/>
  <c r="G87" i="8"/>
  <c r="H87" i="8"/>
  <c r="I87" i="8"/>
  <c r="J87" i="8"/>
  <c r="K87" i="8"/>
  <c r="L87" i="8"/>
  <c r="D88" i="8"/>
  <c r="E88" i="8"/>
  <c r="F88" i="8"/>
  <c r="G88" i="8"/>
  <c r="H88" i="8"/>
  <c r="I88" i="8"/>
  <c r="J88" i="8"/>
  <c r="K88" i="8"/>
  <c r="L88" i="8"/>
  <c r="D89" i="8"/>
  <c r="E89" i="8"/>
  <c r="F89" i="8"/>
  <c r="G89" i="8"/>
  <c r="H89" i="8"/>
  <c r="I89" i="8"/>
  <c r="J89" i="8"/>
  <c r="K89" i="8"/>
  <c r="L89" i="8"/>
  <c r="D90" i="8"/>
  <c r="E90" i="8"/>
  <c r="F90" i="8"/>
  <c r="G90" i="8"/>
  <c r="H90" i="8"/>
  <c r="I90" i="8"/>
  <c r="J90" i="8"/>
  <c r="K90" i="8"/>
  <c r="L90" i="8"/>
  <c r="D91" i="8"/>
  <c r="E91" i="8"/>
  <c r="F91" i="8"/>
  <c r="G91" i="8"/>
  <c r="H91" i="8"/>
  <c r="I91" i="8"/>
  <c r="J91" i="8"/>
  <c r="K91" i="8"/>
  <c r="L91" i="8"/>
  <c r="D92" i="8"/>
  <c r="E92" i="8"/>
  <c r="F92" i="8"/>
  <c r="G92" i="8"/>
  <c r="H92" i="8"/>
  <c r="I92" i="8"/>
  <c r="J92" i="8"/>
  <c r="K92" i="8"/>
  <c r="L92" i="8"/>
  <c r="C82" i="8"/>
  <c r="C83" i="8"/>
  <c r="C84" i="8"/>
  <c r="C85" i="8"/>
  <c r="C86" i="8"/>
  <c r="C87" i="8"/>
  <c r="C88" i="8"/>
  <c r="C89" i="8"/>
  <c r="C90" i="8"/>
  <c r="C91" i="8"/>
  <c r="C92" i="8"/>
  <c r="C81" i="8"/>
  <c r="M78" i="8"/>
  <c r="D70" i="8"/>
  <c r="E70" i="8"/>
  <c r="F70" i="8"/>
  <c r="G70" i="8"/>
  <c r="H70" i="8"/>
  <c r="I70" i="8"/>
  <c r="J70" i="8"/>
  <c r="K70" i="8"/>
  <c r="L70" i="8"/>
  <c r="D71" i="8"/>
  <c r="E71" i="8"/>
  <c r="F71" i="8"/>
  <c r="G71" i="8"/>
  <c r="H71" i="8"/>
  <c r="I71" i="8"/>
  <c r="J71" i="8"/>
  <c r="K71" i="8"/>
  <c r="L71" i="8"/>
  <c r="D72" i="8"/>
  <c r="E72" i="8"/>
  <c r="F72" i="8"/>
  <c r="G72" i="8"/>
  <c r="H72" i="8"/>
  <c r="I72" i="8"/>
  <c r="J72" i="8"/>
  <c r="K72" i="8"/>
  <c r="L72" i="8"/>
  <c r="D73" i="8"/>
  <c r="E73" i="8"/>
  <c r="F73" i="8"/>
  <c r="G73" i="8"/>
  <c r="H73" i="8"/>
  <c r="I73" i="8"/>
  <c r="J73" i="8"/>
  <c r="K73" i="8"/>
  <c r="L73" i="8"/>
  <c r="D74" i="8"/>
  <c r="E74" i="8"/>
  <c r="F74" i="8"/>
  <c r="G74" i="8"/>
  <c r="H74" i="8"/>
  <c r="I74" i="8"/>
  <c r="J74" i="8"/>
  <c r="K74" i="8"/>
  <c r="L74" i="8"/>
  <c r="D75" i="8"/>
  <c r="E75" i="8"/>
  <c r="F75" i="8"/>
  <c r="G75" i="8"/>
  <c r="H75" i="8"/>
  <c r="I75" i="8"/>
  <c r="J75" i="8"/>
  <c r="K75" i="8"/>
  <c r="L75" i="8"/>
  <c r="D76" i="8"/>
  <c r="E76" i="8"/>
  <c r="F76" i="8"/>
  <c r="G76" i="8"/>
  <c r="H76" i="8"/>
  <c r="I76" i="8"/>
  <c r="J76" i="8"/>
  <c r="K76" i="8"/>
  <c r="L76" i="8"/>
  <c r="D77" i="8"/>
  <c r="E77" i="8"/>
  <c r="F77" i="8"/>
  <c r="G77" i="8"/>
  <c r="H77" i="8"/>
  <c r="I77" i="8"/>
  <c r="J77" i="8"/>
  <c r="K77" i="8"/>
  <c r="L77" i="8"/>
  <c r="C71" i="8"/>
  <c r="C72" i="8"/>
  <c r="C73" i="8"/>
  <c r="C74" i="8"/>
  <c r="C75" i="8"/>
  <c r="C76" i="8"/>
  <c r="C77" i="8"/>
  <c r="C70" i="8"/>
  <c r="L15" i="13" l="1"/>
  <c r="G15" i="13"/>
  <c r="D11" i="13"/>
  <c r="D7" i="13"/>
  <c r="E7" i="13" s="1"/>
  <c r="D10" i="13"/>
  <c r="E10" i="13" s="1"/>
  <c r="D6" i="13"/>
  <c r="D13" i="13"/>
  <c r="D9" i="13"/>
  <c r="E9" i="13" s="1"/>
  <c r="D5" i="13"/>
  <c r="D12" i="13"/>
  <c r="E12" i="13" s="1"/>
  <c r="D8" i="13"/>
  <c r="H93" i="8"/>
  <c r="J93" i="8"/>
  <c r="K78" i="8"/>
  <c r="G78" i="8"/>
  <c r="L78" i="8"/>
  <c r="H78" i="8"/>
  <c r="D78" i="8"/>
  <c r="L105" i="8"/>
  <c r="F105" i="8"/>
  <c r="L93" i="8"/>
  <c r="D93" i="8"/>
  <c r="F93" i="8"/>
  <c r="H105" i="8"/>
  <c r="D105" i="8"/>
  <c r="K105" i="8"/>
  <c r="G105" i="8"/>
  <c r="C78" i="8"/>
  <c r="J78" i="8"/>
  <c r="F78" i="8"/>
  <c r="J105" i="8"/>
  <c r="I78" i="8"/>
  <c r="E78" i="8"/>
  <c r="C93" i="8"/>
  <c r="I93" i="8"/>
  <c r="E93" i="8"/>
  <c r="K93" i="8"/>
  <c r="G93" i="8"/>
  <c r="I105" i="8"/>
  <c r="E105" i="8"/>
  <c r="H107" i="8"/>
  <c r="C105" i="8"/>
  <c r="D61" i="8"/>
  <c r="E61" i="8"/>
  <c r="F61" i="8"/>
  <c r="G61" i="8"/>
  <c r="H61" i="8"/>
  <c r="I61" i="8"/>
  <c r="J61" i="8"/>
  <c r="K61" i="8"/>
  <c r="L61" i="8"/>
  <c r="C61" i="8"/>
  <c r="D60" i="8"/>
  <c r="E60" i="8"/>
  <c r="F60" i="8"/>
  <c r="G60" i="8"/>
  <c r="H60" i="8"/>
  <c r="I60" i="8"/>
  <c r="J60" i="8"/>
  <c r="K60" i="8"/>
  <c r="L60" i="8"/>
  <c r="C60" i="8"/>
  <c r="D59" i="8"/>
  <c r="E59" i="8"/>
  <c r="F59" i="8"/>
  <c r="G59" i="8"/>
  <c r="H59" i="8"/>
  <c r="I59" i="8"/>
  <c r="J59" i="8"/>
  <c r="K59" i="8"/>
  <c r="L59" i="8"/>
  <c r="C59" i="8"/>
  <c r="D56" i="8"/>
  <c r="E56" i="8"/>
  <c r="F56" i="8"/>
  <c r="G56" i="8"/>
  <c r="H56" i="8"/>
  <c r="I56" i="8"/>
  <c r="J56" i="8"/>
  <c r="K56" i="8"/>
  <c r="L56" i="8"/>
  <c r="C56" i="8"/>
  <c r="D55" i="8"/>
  <c r="E55" i="8"/>
  <c r="F55" i="8"/>
  <c r="G55" i="8"/>
  <c r="H55" i="8"/>
  <c r="I55" i="8"/>
  <c r="J55" i="8"/>
  <c r="K55" i="8"/>
  <c r="L55" i="8"/>
  <c r="C55" i="8"/>
  <c r="D54" i="8"/>
  <c r="E54" i="8"/>
  <c r="F54" i="8"/>
  <c r="G54" i="8"/>
  <c r="H54" i="8"/>
  <c r="I54" i="8"/>
  <c r="J54" i="8"/>
  <c r="K54" i="8"/>
  <c r="L54" i="8"/>
  <c r="C54" i="8"/>
  <c r="D53" i="8"/>
  <c r="E53" i="8"/>
  <c r="F53" i="8"/>
  <c r="G53" i="8"/>
  <c r="H53" i="8"/>
  <c r="I53" i="8"/>
  <c r="J53" i="8"/>
  <c r="K53" i="8"/>
  <c r="L53" i="8"/>
  <c r="C53" i="8"/>
  <c r="D51" i="8"/>
  <c r="E51" i="8"/>
  <c r="F51" i="8"/>
  <c r="G51" i="8"/>
  <c r="H51" i="8"/>
  <c r="I51" i="8"/>
  <c r="J51" i="8"/>
  <c r="K51" i="8"/>
  <c r="L51" i="8"/>
  <c r="C51" i="8"/>
  <c r="D50" i="8"/>
  <c r="E50" i="8"/>
  <c r="F50" i="8"/>
  <c r="G50" i="8"/>
  <c r="H50" i="8"/>
  <c r="I50" i="8"/>
  <c r="J50" i="8"/>
  <c r="K50" i="8"/>
  <c r="L50" i="8"/>
  <c r="C50" i="8"/>
  <c r="D49" i="8"/>
  <c r="E49" i="8"/>
  <c r="F49" i="8"/>
  <c r="G49" i="8"/>
  <c r="H49" i="8"/>
  <c r="I49" i="8"/>
  <c r="J49" i="8"/>
  <c r="K49" i="8"/>
  <c r="L49" i="8"/>
  <c r="C49" i="8"/>
  <c r="D48" i="8"/>
  <c r="E48" i="8"/>
  <c r="F48" i="8"/>
  <c r="G48" i="8"/>
  <c r="H48" i="8"/>
  <c r="I48" i="8"/>
  <c r="J48" i="8"/>
  <c r="K48" i="8"/>
  <c r="L48" i="8"/>
  <c r="C48" i="8"/>
  <c r="D47" i="8"/>
  <c r="E47" i="8"/>
  <c r="F47" i="8"/>
  <c r="G47" i="8"/>
  <c r="H47" i="8"/>
  <c r="I47" i="8"/>
  <c r="J47" i="8"/>
  <c r="K47" i="8"/>
  <c r="L47" i="8"/>
  <c r="C47" i="8"/>
  <c r="E40" i="11" l="1"/>
  <c r="J40" i="11"/>
  <c r="H40" i="11"/>
  <c r="G40" i="11"/>
  <c r="I40" i="11"/>
  <c r="F40" i="11"/>
  <c r="C40" i="11"/>
  <c r="D40" i="11"/>
  <c r="L40" i="11"/>
  <c r="K40" i="11"/>
  <c r="L16" i="13"/>
  <c r="G16" i="13"/>
  <c r="E8" i="13"/>
  <c r="E13" i="13"/>
  <c r="E11" i="13"/>
  <c r="E6" i="13"/>
  <c r="D14" i="13"/>
  <c r="D107" i="8"/>
  <c r="C107" i="8"/>
  <c r="J107" i="8"/>
  <c r="L107" i="8"/>
  <c r="J57" i="8"/>
  <c r="F57" i="8"/>
  <c r="L57" i="8"/>
  <c r="H57" i="8"/>
  <c r="D57" i="8"/>
  <c r="F107" i="8"/>
  <c r="C57" i="8"/>
  <c r="L62" i="8"/>
  <c r="L64" i="8" s="1"/>
  <c r="L66" i="8" s="1"/>
  <c r="H62" i="8"/>
  <c r="D62" i="8"/>
  <c r="J62" i="8"/>
  <c r="F62" i="8"/>
  <c r="F64" i="8" s="1"/>
  <c r="F66" i="8" s="1"/>
  <c r="K107" i="8"/>
  <c r="E107" i="8"/>
  <c r="G107" i="8"/>
  <c r="K57" i="8"/>
  <c r="G57" i="8"/>
  <c r="I57" i="8"/>
  <c r="E57" i="8"/>
  <c r="C62" i="8"/>
  <c r="C64" i="8" s="1"/>
  <c r="C66" i="8" s="1"/>
  <c r="I62" i="8"/>
  <c r="E62" i="8"/>
  <c r="K62" i="8"/>
  <c r="G62" i="8"/>
  <c r="I107" i="8"/>
  <c r="D64" i="8"/>
  <c r="D66" i="8" s="1"/>
  <c r="B2" i="8"/>
  <c r="D39" i="11" l="1"/>
  <c r="O40" i="11"/>
  <c r="N40" i="11"/>
  <c r="F39" i="11"/>
  <c r="E14" i="13"/>
  <c r="E15" i="13"/>
  <c r="L39" i="11"/>
  <c r="C39" i="11"/>
  <c r="L17" i="13"/>
  <c r="G17" i="13"/>
  <c r="K64" i="8"/>
  <c r="H64" i="8"/>
  <c r="J64" i="8"/>
  <c r="G64" i="8"/>
  <c r="E64" i="8"/>
  <c r="I64" i="8"/>
  <c r="C36" i="8"/>
  <c r="C41" i="8" s="1"/>
  <c r="D36" i="8"/>
  <c r="D41" i="8" s="1"/>
  <c r="D9" i="11" s="1"/>
  <c r="E36" i="8"/>
  <c r="E41" i="8" s="1"/>
  <c r="F36" i="8"/>
  <c r="F41" i="8" s="1"/>
  <c r="F9" i="11" s="1"/>
  <c r="G36" i="8"/>
  <c r="G41" i="8" s="1"/>
  <c r="H36" i="8"/>
  <c r="H41" i="8" s="1"/>
  <c r="H9" i="11" s="1"/>
  <c r="I36" i="8"/>
  <c r="I41" i="8" s="1"/>
  <c r="J36" i="8"/>
  <c r="J41" i="8" s="1"/>
  <c r="J9" i="11" s="1"/>
  <c r="K36" i="8"/>
  <c r="K41" i="8" s="1"/>
  <c r="L36" i="8"/>
  <c r="L41" i="8" s="1"/>
  <c r="L9" i="11" s="1"/>
  <c r="M30" i="8"/>
  <c r="D30" i="8"/>
  <c r="E30" i="8"/>
  <c r="F30" i="8"/>
  <c r="G30" i="8"/>
  <c r="H30" i="8"/>
  <c r="I30" i="8"/>
  <c r="J30" i="8"/>
  <c r="K30" i="8"/>
  <c r="L30" i="8"/>
  <c r="C30" i="8"/>
  <c r="M24" i="8"/>
  <c r="D24" i="8"/>
  <c r="E24" i="8"/>
  <c r="F24" i="8"/>
  <c r="G24" i="8"/>
  <c r="H24" i="8"/>
  <c r="I24" i="8"/>
  <c r="J24" i="8"/>
  <c r="K24" i="8"/>
  <c r="L24" i="8"/>
  <c r="C24" i="8"/>
  <c r="C21" i="8"/>
  <c r="M21" i="8"/>
  <c r="D21" i="8"/>
  <c r="E21" i="8"/>
  <c r="F21" i="8"/>
  <c r="G21" i="8"/>
  <c r="H21" i="8"/>
  <c r="I21" i="8"/>
  <c r="J21" i="8"/>
  <c r="K21" i="8"/>
  <c r="L21" i="8"/>
  <c r="D15" i="8"/>
  <c r="E15" i="8"/>
  <c r="F15" i="8"/>
  <c r="G15" i="8"/>
  <c r="H15" i="8"/>
  <c r="I15" i="8"/>
  <c r="J15" i="8"/>
  <c r="K15" i="8"/>
  <c r="L15" i="8"/>
  <c r="M15" i="8"/>
  <c r="C15" i="8"/>
  <c r="M9" i="8"/>
  <c r="D9" i="8"/>
  <c r="E9" i="8"/>
  <c r="F9" i="8"/>
  <c r="G9" i="8"/>
  <c r="H9" i="8"/>
  <c r="I9" i="8"/>
  <c r="J9" i="8"/>
  <c r="K9" i="8"/>
  <c r="L9" i="8"/>
  <c r="C9" i="8"/>
  <c r="M6" i="8"/>
  <c r="C6" i="8"/>
  <c r="D6" i="8"/>
  <c r="E6" i="8"/>
  <c r="F6" i="8"/>
  <c r="G6" i="8"/>
  <c r="H6" i="8"/>
  <c r="I6" i="8"/>
  <c r="J6" i="8"/>
  <c r="K6" i="8"/>
  <c r="L6" i="8"/>
  <c r="D3" i="8"/>
  <c r="E3" i="8"/>
  <c r="F3" i="8"/>
  <c r="G3" i="8"/>
  <c r="H3" i="8"/>
  <c r="I3" i="8"/>
  <c r="J3" i="8"/>
  <c r="K3" i="8"/>
  <c r="L3" i="8"/>
  <c r="C3" i="8"/>
  <c r="C6" i="3"/>
  <c r="D6" i="3"/>
  <c r="E6" i="3"/>
  <c r="F6" i="3"/>
  <c r="G6" i="3"/>
  <c r="H6" i="3"/>
  <c r="H14" i="3" s="1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K20" i="2" s="1"/>
  <c r="C18" i="2"/>
  <c r="D18" i="2"/>
  <c r="D21" i="2" s="1"/>
  <c r="E18" i="2"/>
  <c r="F18" i="2"/>
  <c r="F21" i="2" s="1"/>
  <c r="G18" i="2"/>
  <c r="H18" i="2"/>
  <c r="H21" i="2" s="1"/>
  <c r="I18" i="2"/>
  <c r="J18" i="2"/>
  <c r="J21" i="2" s="1"/>
  <c r="K18" i="2"/>
  <c r="B17" i="2"/>
  <c r="C4" i="2"/>
  <c r="D4" i="2"/>
  <c r="D23" i="2" s="1"/>
  <c r="E4" i="2"/>
  <c r="E5" i="2"/>
  <c r="F4" i="2"/>
  <c r="G4" i="2"/>
  <c r="H4" i="2"/>
  <c r="I4" i="2"/>
  <c r="I5" i="2"/>
  <c r="J4" i="2"/>
  <c r="J5" i="2"/>
  <c r="K4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F16" i="2" s="1"/>
  <c r="G13" i="2"/>
  <c r="H13" i="2"/>
  <c r="H16" i="2" s="1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C4" i="3"/>
  <c r="C14" i="3" s="1"/>
  <c r="D4" i="3"/>
  <c r="E4" i="3"/>
  <c r="F4" i="3"/>
  <c r="G4" i="3"/>
  <c r="H4" i="3"/>
  <c r="I4" i="3"/>
  <c r="I14" i="3" s="1"/>
  <c r="J4" i="3"/>
  <c r="K4" i="3"/>
  <c r="K14" i="3" s="1"/>
  <c r="C5" i="3"/>
  <c r="D5" i="3"/>
  <c r="E5" i="3"/>
  <c r="F5" i="3"/>
  <c r="G5" i="3"/>
  <c r="H5" i="3"/>
  <c r="L5" i="1" s="1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L10" i="1" s="1"/>
  <c r="N11" i="1" s="1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L12" i="1" s="1"/>
  <c r="L13" i="1" s="1"/>
  <c r="L14" i="1" s="1"/>
  <c r="L25" i="1" s="1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D6" i="1" s="1"/>
  <c r="D19" i="1" s="1"/>
  <c r="E4" i="1"/>
  <c r="F4" i="1"/>
  <c r="F20" i="2" s="1"/>
  <c r="G4" i="1"/>
  <c r="G6" i="1" s="1"/>
  <c r="G19" i="1" s="1"/>
  <c r="H4" i="1"/>
  <c r="I4" i="1"/>
  <c r="J4" i="1"/>
  <c r="J20" i="2" s="1"/>
  <c r="K4" i="1"/>
  <c r="K6" i="1" s="1"/>
  <c r="K19" i="1" s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F12" i="1"/>
  <c r="F13" i="1" s="1"/>
  <c r="F14" i="1" s="1"/>
  <c r="G12" i="1"/>
  <c r="H12" i="1"/>
  <c r="I12" i="1"/>
  <c r="I13" i="1" s="1"/>
  <c r="J12" i="1"/>
  <c r="J13" i="1" s="1"/>
  <c r="J14" i="1" s="1"/>
  <c r="K12" i="1"/>
  <c r="K13" i="1" s="1"/>
  <c r="C15" i="1"/>
  <c r="D15" i="1"/>
  <c r="E15" i="1"/>
  <c r="F15" i="1"/>
  <c r="G15" i="1"/>
  <c r="H15" i="1"/>
  <c r="I15" i="1"/>
  <c r="J15" i="1"/>
  <c r="K15" i="1"/>
  <c r="B15" i="1"/>
  <c r="H13" i="1"/>
  <c r="B7" i="1"/>
  <c r="B4" i="1"/>
  <c r="B20" i="2" s="1"/>
  <c r="A1" i="1"/>
  <c r="A1" i="3" s="1"/>
  <c r="E1" i="6"/>
  <c r="H1" i="1" s="1"/>
  <c r="E1" i="3"/>
  <c r="F23" i="2"/>
  <c r="C23" i="2"/>
  <c r="C16" i="2"/>
  <c r="H23" i="2"/>
  <c r="J6" i="1"/>
  <c r="J19" i="1" s="1"/>
  <c r="C6" i="1"/>
  <c r="C19" i="1" s="1"/>
  <c r="B6" i="1"/>
  <c r="B19" i="1" s="1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K21" i="2"/>
  <c r="I21" i="2"/>
  <c r="G21" i="2"/>
  <c r="E21" i="2"/>
  <c r="C21" i="2"/>
  <c r="B18" i="2"/>
  <c r="B21" i="2"/>
  <c r="B13" i="2"/>
  <c r="B12" i="2"/>
  <c r="B11" i="2"/>
  <c r="B10" i="2"/>
  <c r="B8" i="2"/>
  <c r="B7" i="2"/>
  <c r="B6" i="2"/>
  <c r="F14" i="3"/>
  <c r="B12" i="3"/>
  <c r="B11" i="3"/>
  <c r="B10" i="3"/>
  <c r="B9" i="3"/>
  <c r="B8" i="3"/>
  <c r="B7" i="3"/>
  <c r="B4" i="3"/>
  <c r="B3" i="3"/>
  <c r="L15" i="1"/>
  <c r="B12" i="1"/>
  <c r="B13" i="1" s="1"/>
  <c r="B11" i="1"/>
  <c r="B10" i="1"/>
  <c r="B9" i="1"/>
  <c r="B8" i="1"/>
  <c r="B3" i="1"/>
  <c r="E14" i="3"/>
  <c r="G14" i="3"/>
  <c r="D20" i="2"/>
  <c r="C20" i="2"/>
  <c r="L11" i="1"/>
  <c r="L6" i="1"/>
  <c r="A1" i="2"/>
  <c r="I23" i="1"/>
  <c r="L25" i="8" l="1"/>
  <c r="L18" i="11" s="1"/>
  <c r="L27" i="11"/>
  <c r="L33" i="11" s="1"/>
  <c r="L29" i="11"/>
  <c r="L35" i="11" s="1"/>
  <c r="L31" i="11"/>
  <c r="L28" i="11"/>
  <c r="L34" i="11" s="1"/>
  <c r="L36" i="11" s="1"/>
  <c r="L30" i="11"/>
  <c r="L38" i="11"/>
  <c r="J27" i="11"/>
  <c r="J33" i="11" s="1"/>
  <c r="J29" i="11"/>
  <c r="J35" i="11" s="1"/>
  <c r="J31" i="11"/>
  <c r="J28" i="11"/>
  <c r="J34" i="11" s="1"/>
  <c r="J36" i="11" s="1"/>
  <c r="J30" i="11"/>
  <c r="J38" i="11"/>
  <c r="H27" i="11"/>
  <c r="H33" i="11" s="1"/>
  <c r="H29" i="11"/>
  <c r="H35" i="11" s="1"/>
  <c r="H31" i="11"/>
  <c r="H28" i="11"/>
  <c r="H34" i="11" s="1"/>
  <c r="H36" i="11" s="1"/>
  <c r="H30" i="11"/>
  <c r="H38" i="11"/>
  <c r="F27" i="11"/>
  <c r="F33" i="11" s="1"/>
  <c r="F29" i="11"/>
  <c r="F35" i="11" s="1"/>
  <c r="F31" i="11"/>
  <c r="F28" i="11"/>
  <c r="F34" i="11" s="1"/>
  <c r="F36" i="11" s="1"/>
  <c r="F30" i="11"/>
  <c r="F38" i="11"/>
  <c r="D7" i="8"/>
  <c r="D5" i="11" s="1"/>
  <c r="D27" i="11"/>
  <c r="D33" i="11" s="1"/>
  <c r="D29" i="11"/>
  <c r="D35" i="11" s="1"/>
  <c r="D31" i="11"/>
  <c r="D28" i="11"/>
  <c r="D34" i="11" s="1"/>
  <c r="D36" i="11" s="1"/>
  <c r="D30" i="11"/>
  <c r="D38" i="11"/>
  <c r="I66" i="8"/>
  <c r="I39" i="11"/>
  <c r="G66" i="8"/>
  <c r="G39" i="11"/>
  <c r="H66" i="8"/>
  <c r="H39" i="11"/>
  <c r="H23" i="1"/>
  <c r="L4" i="1"/>
  <c r="L23" i="1" s="1"/>
  <c r="B14" i="3"/>
  <c r="E1" i="2"/>
  <c r="K14" i="1"/>
  <c r="G23" i="2"/>
  <c r="E23" i="2"/>
  <c r="C14" i="1"/>
  <c r="E20" i="2"/>
  <c r="L9" i="1"/>
  <c r="M9" i="1" s="1"/>
  <c r="L8" i="1"/>
  <c r="L7" i="1"/>
  <c r="J14" i="3"/>
  <c r="D14" i="3"/>
  <c r="B23" i="2"/>
  <c r="K16" i="2"/>
  <c r="E16" i="2"/>
  <c r="D16" i="2"/>
  <c r="K28" i="11"/>
  <c r="K34" i="11" s="1"/>
  <c r="K30" i="11"/>
  <c r="K27" i="11"/>
  <c r="K33" i="11" s="1"/>
  <c r="K29" i="11"/>
  <c r="K35" i="11" s="1"/>
  <c r="K31" i="11"/>
  <c r="K38" i="11"/>
  <c r="I28" i="11"/>
  <c r="I34" i="11" s="1"/>
  <c r="I30" i="11"/>
  <c r="I27" i="11"/>
  <c r="I33" i="11" s="1"/>
  <c r="I29" i="11"/>
  <c r="I35" i="11" s="1"/>
  <c r="I31" i="11"/>
  <c r="I38" i="11"/>
  <c r="G28" i="11"/>
  <c r="G34" i="11" s="1"/>
  <c r="G30" i="11"/>
  <c r="G27" i="11"/>
  <c r="G33" i="11" s="1"/>
  <c r="G29" i="11"/>
  <c r="G35" i="11" s="1"/>
  <c r="G31" i="11"/>
  <c r="G38" i="11"/>
  <c r="E28" i="11"/>
  <c r="E34" i="11" s="1"/>
  <c r="E30" i="11"/>
  <c r="E27" i="11"/>
  <c r="E33" i="11" s="1"/>
  <c r="E29" i="11"/>
  <c r="E35" i="11" s="1"/>
  <c r="E31" i="11"/>
  <c r="E38" i="11"/>
  <c r="C28" i="11"/>
  <c r="C30" i="11"/>
  <c r="C27" i="11"/>
  <c r="C29" i="11"/>
  <c r="C31" i="11"/>
  <c r="C38" i="11"/>
  <c r="K9" i="11"/>
  <c r="I9" i="11"/>
  <c r="G9" i="11"/>
  <c r="E9" i="11"/>
  <c r="N9" i="11" s="1"/>
  <c r="E66" i="8"/>
  <c r="E39" i="11"/>
  <c r="N39" i="11" s="1"/>
  <c r="J66" i="8"/>
  <c r="J39" i="11"/>
  <c r="K66" i="8"/>
  <c r="K39" i="11"/>
  <c r="L18" i="13"/>
  <c r="G18" i="13"/>
  <c r="I10" i="8"/>
  <c r="E10" i="8"/>
  <c r="L12" i="8"/>
  <c r="I22" i="8"/>
  <c r="I25" i="8"/>
  <c r="I18" i="11" s="1"/>
  <c r="E25" i="8"/>
  <c r="E18" i="11" s="1"/>
  <c r="M36" i="8"/>
  <c r="M41" i="8" s="1"/>
  <c r="L7" i="8"/>
  <c r="L5" i="11" s="1"/>
  <c r="H7" i="8"/>
  <c r="H5" i="11" s="1"/>
  <c r="C12" i="8"/>
  <c r="J22" i="8"/>
  <c r="F22" i="8"/>
  <c r="J25" i="8"/>
  <c r="J18" i="11" s="1"/>
  <c r="F25" i="8"/>
  <c r="F18" i="11" s="1"/>
  <c r="H25" i="8"/>
  <c r="H18" i="11" s="1"/>
  <c r="C25" i="8"/>
  <c r="C18" i="11" s="1"/>
  <c r="I12" i="8"/>
  <c r="E12" i="8"/>
  <c r="J16" i="8"/>
  <c r="J17" i="11" s="1"/>
  <c r="F16" i="8"/>
  <c r="F17" i="11" s="1"/>
  <c r="M25" i="8"/>
  <c r="H10" i="8"/>
  <c r="D12" i="8"/>
  <c r="C16" i="8"/>
  <c r="C17" i="11" s="1"/>
  <c r="K22" i="8"/>
  <c r="G22" i="8"/>
  <c r="M10" i="8"/>
  <c r="K10" i="8"/>
  <c r="G10" i="8"/>
  <c r="M16" i="8"/>
  <c r="I16" i="8"/>
  <c r="I17" i="11" s="1"/>
  <c r="E16" i="8"/>
  <c r="E17" i="11" s="1"/>
  <c r="C22" i="8"/>
  <c r="D25" i="8"/>
  <c r="D18" i="11" s="1"/>
  <c r="L16" i="8"/>
  <c r="L17" i="11" s="1"/>
  <c r="H16" i="8"/>
  <c r="H17" i="11" s="1"/>
  <c r="D16" i="8"/>
  <c r="D17" i="11" s="1"/>
  <c r="K25" i="8"/>
  <c r="K18" i="11" s="1"/>
  <c r="G25" i="8"/>
  <c r="G18" i="11" s="1"/>
  <c r="C10" i="8"/>
  <c r="K16" i="8"/>
  <c r="K17" i="11" s="1"/>
  <c r="G16" i="8"/>
  <c r="G17" i="11" s="1"/>
  <c r="L22" i="8"/>
  <c r="H22" i="8"/>
  <c r="D22" i="8"/>
  <c r="E22" i="8"/>
  <c r="K7" i="8"/>
  <c r="K5" i="11" s="1"/>
  <c r="G7" i="8"/>
  <c r="G5" i="11" s="1"/>
  <c r="H12" i="8"/>
  <c r="M22" i="8"/>
  <c r="J7" i="8"/>
  <c r="J5" i="11" s="1"/>
  <c r="F7" i="8"/>
  <c r="F5" i="11" s="1"/>
  <c r="L10" i="8"/>
  <c r="D10" i="8"/>
  <c r="K12" i="8"/>
  <c r="G12" i="8"/>
  <c r="M12" i="8"/>
  <c r="M7" i="8"/>
  <c r="I7" i="8"/>
  <c r="I5" i="11" s="1"/>
  <c r="E7" i="8"/>
  <c r="E5" i="11" s="1"/>
  <c r="J12" i="8"/>
  <c r="F12" i="8"/>
  <c r="J10" i="8"/>
  <c r="F10" i="8"/>
  <c r="E6" i="1"/>
  <c r="E19" i="1" s="1"/>
  <c r="K23" i="2"/>
  <c r="J23" i="1"/>
  <c r="L19" i="1"/>
  <c r="L24" i="1" s="1"/>
  <c r="G20" i="2"/>
  <c r="B16" i="2"/>
  <c r="H14" i="1"/>
  <c r="J16" i="2"/>
  <c r="G16" i="2"/>
  <c r="G24" i="2"/>
  <c r="E24" i="2"/>
  <c r="G13" i="1"/>
  <c r="G14" i="1" s="1"/>
  <c r="D13" i="1"/>
  <c r="E13" i="1" s="1"/>
  <c r="E14" i="1" s="1"/>
  <c r="J23" i="2"/>
  <c r="J24" i="2"/>
  <c r="D24" i="2"/>
  <c r="B14" i="1"/>
  <c r="I16" i="2"/>
  <c r="K24" i="2"/>
  <c r="I24" i="2"/>
  <c r="M11" i="1"/>
  <c r="I6" i="1"/>
  <c r="I19" i="1" s="1"/>
  <c r="K24" i="1" s="1"/>
  <c r="M24" i="1" s="1"/>
  <c r="I14" i="1"/>
  <c r="K25" i="1" s="1"/>
  <c r="M25" i="1" s="1"/>
  <c r="M14" i="1" s="1"/>
  <c r="C24" i="2"/>
  <c r="I23" i="2"/>
  <c r="H24" i="2"/>
  <c r="F24" i="2"/>
  <c r="J25" i="1"/>
  <c r="N9" i="1"/>
  <c r="N8" i="1"/>
  <c r="M8" i="1"/>
  <c r="I20" i="2"/>
  <c r="H20" i="2"/>
  <c r="K23" i="1"/>
  <c r="M23" i="1" s="1"/>
  <c r="M4" i="1" s="1"/>
  <c r="H6" i="1"/>
  <c r="H19" i="1" s="1"/>
  <c r="J24" i="1" s="1"/>
  <c r="F6" i="1"/>
  <c r="F19" i="1" s="1"/>
  <c r="O18" i="11" l="1"/>
  <c r="N18" i="11"/>
  <c r="O38" i="11"/>
  <c r="N38" i="11"/>
  <c r="O30" i="11"/>
  <c r="N30" i="11"/>
  <c r="O39" i="11"/>
  <c r="O9" i="11"/>
  <c r="O5" i="11"/>
  <c r="N5" i="11"/>
  <c r="N33" i="11"/>
  <c r="N17" i="11"/>
  <c r="O17" i="11"/>
  <c r="C35" i="11"/>
  <c r="N29" i="11"/>
  <c r="O29" i="11"/>
  <c r="I25" i="1"/>
  <c r="N23" i="1"/>
  <c r="N4" i="1" s="1"/>
  <c r="H24" i="1"/>
  <c r="N31" i="11"/>
  <c r="O31" i="11"/>
  <c r="C33" i="11"/>
  <c r="N27" i="11"/>
  <c r="O27" i="11"/>
  <c r="C34" i="11"/>
  <c r="O28" i="11"/>
  <c r="N28" i="11"/>
  <c r="E36" i="11"/>
  <c r="G36" i="11"/>
  <c r="I36" i="11"/>
  <c r="K36" i="11"/>
  <c r="K18" i="8"/>
  <c r="K13" i="8"/>
  <c r="K11" i="11" s="1"/>
  <c r="D18" i="8"/>
  <c r="D13" i="8"/>
  <c r="D11" i="11" s="1"/>
  <c r="L18" i="8"/>
  <c r="L13" i="8"/>
  <c r="L11" i="11" s="1"/>
  <c r="G18" i="8"/>
  <c r="G13" i="8"/>
  <c r="G11" i="11" s="1"/>
  <c r="F18" i="8"/>
  <c r="F13" i="8"/>
  <c r="F11" i="11" s="1"/>
  <c r="E18" i="8"/>
  <c r="E13" i="8"/>
  <c r="E11" i="11" s="1"/>
  <c r="C18" i="8"/>
  <c r="C13" i="8"/>
  <c r="C11" i="11" s="1"/>
  <c r="J18" i="8"/>
  <c r="J13" i="8"/>
  <c r="J11" i="11" s="1"/>
  <c r="M18" i="8"/>
  <c r="M13" i="8"/>
  <c r="H18" i="8"/>
  <c r="H13" i="8"/>
  <c r="H11" i="11" s="1"/>
  <c r="I18" i="8"/>
  <c r="I13" i="8"/>
  <c r="I11" i="11" s="1"/>
  <c r="G19" i="8"/>
  <c r="G12" i="11" s="1"/>
  <c r="K19" i="8"/>
  <c r="K12" i="11" s="1"/>
  <c r="K27" i="8"/>
  <c r="F19" i="8"/>
  <c r="F12" i="11" s="1"/>
  <c r="F27" i="8"/>
  <c r="C19" i="8"/>
  <c r="C12" i="11" s="1"/>
  <c r="C27" i="8"/>
  <c r="D27" i="8"/>
  <c r="J19" i="8"/>
  <c r="J12" i="11" s="1"/>
  <c r="M19" i="8"/>
  <c r="M27" i="8"/>
  <c r="I19" i="8"/>
  <c r="I12" i="11" s="1"/>
  <c r="I27" i="8"/>
  <c r="L19" i="8"/>
  <c r="L12" i="11" s="1"/>
  <c r="L27" i="8"/>
  <c r="L7" i="11" s="1"/>
  <c r="D14" i="1"/>
  <c r="H25" i="1" s="1"/>
  <c r="N25" i="1" s="1"/>
  <c r="N14" i="1" s="1"/>
  <c r="I24" i="1"/>
  <c r="N24" i="1" s="1"/>
  <c r="N6" i="1" s="1"/>
  <c r="M6" i="1"/>
  <c r="M10" i="1" s="1"/>
  <c r="M12" i="1" s="1"/>
  <c r="M13" i="1" s="1"/>
  <c r="M15" i="1" s="1"/>
  <c r="N10" i="1" l="1"/>
  <c r="N12" i="1" s="1"/>
  <c r="N13" i="1" s="1"/>
  <c r="N5" i="1"/>
  <c r="N15" i="1"/>
  <c r="I21" i="11"/>
  <c r="I25" i="11"/>
  <c r="I6" i="11"/>
  <c r="I13" i="11"/>
  <c r="I19" i="11" s="1"/>
  <c r="H27" i="8"/>
  <c r="I7" i="11" s="1"/>
  <c r="H21" i="11"/>
  <c r="H25" i="11"/>
  <c r="H6" i="11"/>
  <c r="H13" i="11"/>
  <c r="H19" i="11" s="1"/>
  <c r="J27" i="8"/>
  <c r="J7" i="11" s="1"/>
  <c r="J21" i="11"/>
  <c r="J25" i="11"/>
  <c r="J6" i="11"/>
  <c r="J13" i="11"/>
  <c r="J19" i="11" s="1"/>
  <c r="I4" i="13" a="1"/>
  <c r="C25" i="11"/>
  <c r="C21" i="11"/>
  <c r="C13" i="11"/>
  <c r="E19" i="8"/>
  <c r="E12" i="11" s="1"/>
  <c r="E21" i="11"/>
  <c r="E25" i="11"/>
  <c r="E6" i="11"/>
  <c r="E13" i="11"/>
  <c r="E19" i="11" s="1"/>
  <c r="F21" i="11"/>
  <c r="F25" i="11"/>
  <c r="F6" i="11"/>
  <c r="F13" i="11"/>
  <c r="F19" i="11" s="1"/>
  <c r="G27" i="8"/>
  <c r="G7" i="11" s="1"/>
  <c r="G21" i="11"/>
  <c r="G25" i="11"/>
  <c r="G6" i="11"/>
  <c r="G13" i="11"/>
  <c r="G19" i="11" s="1"/>
  <c r="L21" i="11"/>
  <c r="L25" i="11"/>
  <c r="L6" i="11"/>
  <c r="L13" i="11"/>
  <c r="L19" i="11" s="1"/>
  <c r="D6" i="11"/>
  <c r="D21" i="11"/>
  <c r="D25" i="11"/>
  <c r="D13" i="11"/>
  <c r="D19" i="11" s="1"/>
  <c r="K21" i="11"/>
  <c r="K25" i="11"/>
  <c r="K6" i="11"/>
  <c r="K13" i="11"/>
  <c r="K19" i="11" s="1"/>
  <c r="C36" i="11"/>
  <c r="O33" i="11"/>
  <c r="N35" i="11"/>
  <c r="O35" i="11"/>
  <c r="O11" i="11"/>
  <c r="N11" i="11"/>
  <c r="O34" i="11"/>
  <c r="N34" i="11"/>
  <c r="H19" i="8"/>
  <c r="H12" i="11" s="1"/>
  <c r="D7" i="11"/>
  <c r="E27" i="8"/>
  <c r="E7" i="11" s="1"/>
  <c r="D19" i="8"/>
  <c r="D12" i="11" s="1"/>
  <c r="N12" i="11" s="1"/>
  <c r="E33" i="8"/>
  <c r="E31" i="8"/>
  <c r="L33" i="8"/>
  <c r="L28" i="8"/>
  <c r="L14" i="11" s="1"/>
  <c r="L31" i="8"/>
  <c r="J33" i="8"/>
  <c r="J31" i="8"/>
  <c r="J28" i="8"/>
  <c r="J14" i="11" s="1"/>
  <c r="C33" i="8"/>
  <c r="C23" i="11" s="1"/>
  <c r="C28" i="8"/>
  <c r="C14" i="11" s="1"/>
  <c r="C31" i="8"/>
  <c r="F33" i="8"/>
  <c r="F28" i="8"/>
  <c r="F14" i="11" s="1"/>
  <c r="F31" i="8"/>
  <c r="G31" i="8"/>
  <c r="G33" i="8"/>
  <c r="G28" i="8"/>
  <c r="G14" i="11" s="1"/>
  <c r="K31" i="8"/>
  <c r="K33" i="8"/>
  <c r="K28" i="8"/>
  <c r="K14" i="11" s="1"/>
  <c r="H33" i="8"/>
  <c r="H31" i="8"/>
  <c r="H28" i="8"/>
  <c r="H14" i="11" s="1"/>
  <c r="I33" i="8"/>
  <c r="I28" i="8"/>
  <c r="I14" i="11" s="1"/>
  <c r="I31" i="8"/>
  <c r="M33" i="8"/>
  <c r="M31" i="8"/>
  <c r="M28" i="8"/>
  <c r="D33" i="8"/>
  <c r="D23" i="11" s="1"/>
  <c r="D28" i="8"/>
  <c r="D14" i="11" s="1"/>
  <c r="D31" i="8"/>
  <c r="M5" i="1"/>
  <c r="I23" i="11" l="1"/>
  <c r="I8" i="11"/>
  <c r="H23" i="11"/>
  <c r="H8" i="11"/>
  <c r="K23" i="11"/>
  <c r="K8" i="11"/>
  <c r="L23" i="11"/>
  <c r="L8" i="11"/>
  <c r="E28" i="8"/>
  <c r="E14" i="11" s="1"/>
  <c r="O12" i="11"/>
  <c r="C19" i="11"/>
  <c r="O13" i="11"/>
  <c r="N13" i="11"/>
  <c r="O25" i="11"/>
  <c r="N25" i="11"/>
  <c r="K7" i="11"/>
  <c r="G23" i="11"/>
  <c r="G8" i="11"/>
  <c r="F23" i="11"/>
  <c r="F8" i="11"/>
  <c r="N14" i="11"/>
  <c r="O14" i="11"/>
  <c r="J23" i="11"/>
  <c r="J8" i="11"/>
  <c r="E23" i="11"/>
  <c r="O23" i="11" s="1"/>
  <c r="E8" i="11"/>
  <c r="N36" i="11"/>
  <c r="O36" i="11"/>
  <c r="O6" i="11"/>
  <c r="N6" i="11"/>
  <c r="O21" i="11"/>
  <c r="N21" i="11"/>
  <c r="I4" i="13"/>
  <c r="I7" i="13"/>
  <c r="I11" i="13"/>
  <c r="I6" i="13"/>
  <c r="J6" i="13" s="1"/>
  <c r="I10" i="13"/>
  <c r="I9" i="13"/>
  <c r="I12" i="13"/>
  <c r="I13" i="13"/>
  <c r="I5" i="13"/>
  <c r="J5" i="13" s="1"/>
  <c r="I8" i="13"/>
  <c r="J8" i="13" s="1"/>
  <c r="H7" i="11"/>
  <c r="F7" i="11"/>
  <c r="O7" i="11" s="1"/>
  <c r="D8" i="11"/>
  <c r="L38" i="8"/>
  <c r="L34" i="8"/>
  <c r="L15" i="11" s="1"/>
  <c r="D38" i="8"/>
  <c r="D34" i="8"/>
  <c r="D15" i="11" s="1"/>
  <c r="J38" i="8"/>
  <c r="J34" i="8"/>
  <c r="J15" i="11" s="1"/>
  <c r="H38" i="8"/>
  <c r="H34" i="8"/>
  <c r="H15" i="11" s="1"/>
  <c r="C38" i="8"/>
  <c r="C34" i="8"/>
  <c r="C15" i="11" s="1"/>
  <c r="M38" i="8"/>
  <c r="M34" i="8"/>
  <c r="K38" i="8"/>
  <c r="K34" i="8"/>
  <c r="K15" i="11" s="1"/>
  <c r="I38" i="8"/>
  <c r="I34" i="8"/>
  <c r="I15" i="11" s="1"/>
  <c r="G34" i="8"/>
  <c r="G15" i="11" s="1"/>
  <c r="G38" i="8"/>
  <c r="F38" i="8"/>
  <c r="F34" i="8"/>
  <c r="F15" i="11" s="1"/>
  <c r="E38" i="8"/>
  <c r="E34" i="8"/>
  <c r="E15" i="11" s="1"/>
  <c r="J9" i="13" l="1"/>
  <c r="J7" i="13"/>
  <c r="N7" i="11"/>
  <c r="N23" i="11"/>
  <c r="C42" i="8"/>
  <c r="C44" i="8" s="1"/>
  <c r="C22" i="11" s="1"/>
  <c r="N4" i="13" a="1"/>
  <c r="O15" i="11"/>
  <c r="N15" i="11"/>
  <c r="O8" i="11"/>
  <c r="N8" i="11"/>
  <c r="J13" i="13"/>
  <c r="J12" i="13"/>
  <c r="J10" i="13"/>
  <c r="J11" i="13"/>
  <c r="I14" i="13"/>
  <c r="J14" i="13" s="1"/>
  <c r="I15" i="13"/>
  <c r="J15" i="13" s="1"/>
  <c r="I16" i="13"/>
  <c r="J16" i="13" s="1"/>
  <c r="I17" i="13"/>
  <c r="J17" i="13" s="1"/>
  <c r="I18" i="13"/>
  <c r="J18" i="13" s="1"/>
  <c r="N19" i="11"/>
  <c r="O19" i="11"/>
  <c r="F39" i="8"/>
  <c r="F42" i="8"/>
  <c r="F44" i="8" s="1"/>
  <c r="F22" i="11" s="1"/>
  <c r="F24" i="11" s="1"/>
  <c r="I42" i="8"/>
  <c r="I44" i="8"/>
  <c r="I22" i="11" s="1"/>
  <c r="I24" i="11" s="1"/>
  <c r="I39" i="8"/>
  <c r="M42" i="8"/>
  <c r="M44" i="8" s="1"/>
  <c r="M39" i="8"/>
  <c r="H44" i="8"/>
  <c r="H22" i="11" s="1"/>
  <c r="H24" i="11" s="1"/>
  <c r="H42" i="8"/>
  <c r="H39" i="8"/>
  <c r="D44" i="8"/>
  <c r="D22" i="11" s="1"/>
  <c r="D24" i="11" s="1"/>
  <c r="D42" i="8"/>
  <c r="D39" i="8"/>
  <c r="G42" i="8"/>
  <c r="G44" i="8" s="1"/>
  <c r="G22" i="11" s="1"/>
  <c r="G24" i="11" s="1"/>
  <c r="G39" i="8"/>
  <c r="E42" i="8"/>
  <c r="E44" i="8" s="1"/>
  <c r="E22" i="11" s="1"/>
  <c r="E24" i="11" s="1"/>
  <c r="E39" i="8"/>
  <c r="K39" i="8"/>
  <c r="K42" i="8"/>
  <c r="K44" i="8" s="1"/>
  <c r="K22" i="11" s="1"/>
  <c r="K24" i="11" s="1"/>
  <c r="J42" i="8"/>
  <c r="J39" i="8"/>
  <c r="J44" i="8"/>
  <c r="J22" i="11" s="1"/>
  <c r="J24" i="11" s="1"/>
  <c r="L42" i="8"/>
  <c r="L44" i="8" s="1"/>
  <c r="L22" i="11" s="1"/>
  <c r="L24" i="11" s="1"/>
  <c r="L39" i="8"/>
  <c r="N4" i="13" l="1"/>
  <c r="N7" i="13"/>
  <c r="N11" i="13"/>
  <c r="N13" i="13"/>
  <c r="N5" i="13"/>
  <c r="N12" i="13"/>
  <c r="O12" i="13" s="1"/>
  <c r="N6" i="13"/>
  <c r="N9" i="13"/>
  <c r="N10" i="13"/>
  <c r="N8" i="13"/>
  <c r="O8" i="13" s="1"/>
  <c r="N22" i="11"/>
  <c r="O22" i="11"/>
  <c r="C24" i="11"/>
  <c r="O9" i="13" l="1"/>
  <c r="O13" i="13"/>
  <c r="O7" i="13"/>
  <c r="N24" i="11"/>
  <c r="O24" i="11"/>
  <c r="O10" i="13"/>
  <c r="O6" i="13"/>
  <c r="O5" i="13"/>
  <c r="O11" i="13"/>
  <c r="N14" i="13"/>
  <c r="O14" i="13" s="1"/>
  <c r="N15" i="13"/>
  <c r="O15" i="13" s="1"/>
  <c r="N16" i="13"/>
  <c r="O16" i="13" s="1"/>
  <c r="N17" i="13"/>
  <c r="O17" i="13" s="1"/>
  <c r="N18" i="13"/>
  <c r="O18" i="13" s="1"/>
</calcChain>
</file>

<file path=xl/sharedStrings.xml><?xml version="1.0" encoding="utf-8"?>
<sst xmlns="http://schemas.openxmlformats.org/spreadsheetml/2006/main" count="331" uniqueCount="208">
  <si>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</si>
  <si>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</si>
  <si>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</si>
  <si>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</si>
  <si>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</si>
  <si>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</si>
  <si>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</si>
  <si>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</si>
  <si>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</si>
  <si>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</si>
  <si>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</si>
  <si>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</si>
  <si>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</si>
  <si>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</si>
  <si>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</si>
  <si>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</si>
  <si>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</si>
  <si>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</si>
  <si>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</si>
  <si>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</si>
  <si>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</si>
  <si>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</si>
  <si>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</si>
  <si>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</si>
  <si>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</si>
  <si>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</si>
  <si>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</si>
  <si>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</si>
  <si>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</si>
  <si>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</si>
  <si>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</si>
  <si>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</si>
  <si>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</si>
  <si>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</si>
  <si>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</si>
  <si>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</si>
  <si>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</si>
  <si>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</si>
  <si>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</si>
  <si>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</si>
  <si>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</si>
  <si>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</si>
  <si>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</si>
  <si>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</si>
  <si>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</si>
  <si>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</si>
  <si>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</si>
  <si>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</si>
  <si>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EPS</t>
  </si>
  <si>
    <t>Price</t>
  </si>
  <si>
    <t>Return on Equity</t>
  </si>
  <si>
    <t>Return on Capital Emp</t>
  </si>
  <si>
    <t>LATEST VERSION</t>
  </si>
  <si>
    <t>CURRENT VERSION</t>
  </si>
  <si>
    <t>TATA MOTORS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</si>
  <si>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</si>
  <si>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</si>
  <si>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</si>
  <si>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</si>
  <si>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</si>
  <si>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</si>
  <si>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</si>
  <si>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</si>
  <si>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</si>
  <si>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</si>
  <si>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</si>
  <si>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</si>
  <si>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</si>
  <si>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</si>
  <si>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</si>
  <si>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</si>
  <si>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</si>
  <si>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</si>
  <si>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</si>
  <si>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</si>
  <si>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</si>
  <si>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</si>
  <si>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</si>
  <si>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</si>
  <si>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</si>
  <si>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</si>
  <si>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Years</t>
  </si>
  <si>
    <t>LTM</t>
  </si>
  <si>
    <t>Income Statement</t>
  </si>
  <si>
    <t>#</t>
  </si>
  <si>
    <t xml:space="preserve"> -</t>
  </si>
  <si>
    <t>COGS</t>
  </si>
  <si>
    <t>COGS % Sales</t>
  </si>
  <si>
    <t>Gross Profit</t>
  </si>
  <si>
    <t>Selling &amp; General Expenses</t>
  </si>
  <si>
    <t>EBITDA</t>
  </si>
  <si>
    <t>Interest % Sales</t>
  </si>
  <si>
    <t>Depreciatoin</t>
  </si>
  <si>
    <t>Depreciatoin % on Sales</t>
  </si>
  <si>
    <t>Earnings Before Tax</t>
  </si>
  <si>
    <t>EBT % Sales</t>
  </si>
  <si>
    <t>Effective Tax Rate</t>
  </si>
  <si>
    <t>Net Profit</t>
  </si>
  <si>
    <t>Net Margins</t>
  </si>
  <si>
    <t>No. Of Equity Shares</t>
  </si>
  <si>
    <t>Earning per share</t>
  </si>
  <si>
    <t>EPS Growth %</t>
  </si>
  <si>
    <t>Dividend Per Share</t>
  </si>
  <si>
    <t>Dividend Payout Ratio</t>
  </si>
  <si>
    <t>Retained Ernings</t>
  </si>
  <si>
    <t>Balance Sheet</t>
  </si>
  <si>
    <t>Total Liabilities</t>
  </si>
  <si>
    <t>Fixed Assets Net Block</t>
  </si>
  <si>
    <t>Cap Work In Progress</t>
  </si>
  <si>
    <t>Total Non Current Assets</t>
  </si>
  <si>
    <t>Cash&amp;Bank</t>
  </si>
  <si>
    <t>Total Current Assets</t>
  </si>
  <si>
    <t>Total Assets</t>
  </si>
  <si>
    <t>Check</t>
  </si>
  <si>
    <t>Cash Flow Statements</t>
  </si>
  <si>
    <t>Operating Activities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</si>
  <si>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</si>
  <si>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</si>
  <si>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</si>
  <si>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</si>
  <si>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</si>
  <si>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</si>
  <si>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Cash from Operating Activities</t>
  </si>
  <si>
    <t>Investing Activities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</si>
  <si>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</si>
  <si>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</si>
  <si>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</si>
  <si>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</si>
  <si>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</si>
  <si>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</si>
  <si>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</si>
  <si>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</si>
  <si>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</si>
  <si>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Acquisition of companies</t>
  </si>
  <si>
    <t>Inter corporate deposits</t>
  </si>
  <si>
    <t>Other investing items</t>
  </si>
  <si>
    <t>Cash from Investing Activities</t>
  </si>
  <si>
    <t>Financing Activities</t>
  </si>
  <si>
    <t>Proceeds from shares</t>
  </si>
  <si>
    <t>Redemption of debentures</t>
  </si>
  <si>
    <t>Proceeds from borrowings</t>
  </si>
  <si>
    <t>Repayment of borrowings</t>
  </si>
  <si>
    <t>Proceeds from deposits</t>
  </si>
  <si>
    <t>Interest paid fin</t>
  </si>
  <si>
    <t>Dividends paid</t>
  </si>
  <si>
    <t>Financial liabilities</t>
  </si>
  <si>
    <t>Other financing items</t>
  </si>
  <si>
    <t>Cash from Financing Activities</t>
  </si>
  <si>
    <t>Cash from Operating Activity -</t>
  </si>
  <si>
    <t>Cash from Investing Activity -</t>
  </si>
  <si>
    <t>Cash from Financing Activity -</t>
  </si>
  <si>
    <t>EBITDA Growth</t>
  </si>
  <si>
    <t>Gross Margin</t>
  </si>
  <si>
    <t>EBIT Growth</t>
  </si>
  <si>
    <t>Net Profit Growth</t>
  </si>
  <si>
    <t>Dividend Growth</t>
  </si>
  <si>
    <t>EBITDA Margin</t>
  </si>
  <si>
    <t>EBIT Margin</t>
  </si>
  <si>
    <t>EBT Margin</t>
  </si>
  <si>
    <t>Net Profit Margin</t>
  </si>
  <si>
    <t>SalesExpenses%sales</t>
  </si>
  <si>
    <t>Depreciation%sales</t>
  </si>
  <si>
    <t>Operating%Sales</t>
  </si>
  <si>
    <t>Return On Capital Employed</t>
  </si>
  <si>
    <t>Retained Ernings%</t>
  </si>
  <si>
    <t>Return On Equity%</t>
  </si>
  <si>
    <t>Interest Coverage Ratio</t>
  </si>
  <si>
    <t>Self Sustained Growth Rate</t>
  </si>
  <si>
    <t>Debtor Turnover Ratio</t>
  </si>
  <si>
    <t>Creditor Turnover Ratio</t>
  </si>
  <si>
    <t>Fixed Asset Turnover</t>
  </si>
  <si>
    <t>Capital Turnover Ratio</t>
  </si>
  <si>
    <t>Debtors Days</t>
  </si>
  <si>
    <t>Payable Days</t>
  </si>
  <si>
    <t>Inventory Days</t>
  </si>
  <si>
    <t>Cash Conversion Cycle</t>
  </si>
  <si>
    <t>CFO/Sales</t>
  </si>
  <si>
    <t>CFO/Total Assets</t>
  </si>
  <si>
    <t>CFO/Total Debt</t>
  </si>
  <si>
    <t>Mean</t>
  </si>
  <si>
    <t>Median</t>
  </si>
  <si>
    <t>Trend</t>
  </si>
  <si>
    <t>Year Weight</t>
  </si>
  <si>
    <t>Year</t>
  </si>
  <si>
    <t>Revenue</t>
  </si>
  <si>
    <t>EBIT (13%)</t>
  </si>
  <si>
    <t>NOPAT(25%)</t>
  </si>
  <si>
    <t>Depriciation(6%)</t>
  </si>
  <si>
    <t>CapX(7%)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</si>
  <si>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</si>
  <si>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</si>
  <si>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</si>
  <si>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</si>
  <si>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</si>
  <si>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</si>
  <si>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Trade Payables</t>
  </si>
  <si>
    <t>Other liability items</t>
  </si>
  <si>
    <t>Fixed Assets -</t>
  </si>
  <si>
    <t>Intangible Assets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</si>
  <si>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</si>
  <si>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</si>
  <si>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</si>
  <si>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</si>
  <si>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</si>
  <si>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</si>
  <si>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</si>
  <si>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</si>
  <si>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 xml:space="preserve">TATA-MOTORS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</si>
</sst>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\ #,##0.00;\(&quot;₹&quot;\ \-#,##0.00\);\-"/>
    <numFmt numFmtId="167" formatCode="0.00&quot;x&quot;"/>
    <numFmt numFmtId="168" formatCode="0\ "/>
    <numFmt numFmtId="169" formatCode="yyyy"/>
    <numFmt numFmtId="170" formatCode="yyyy&quot;A&quot;"/>
    <numFmt numFmtId="171" formatCode="yyyy&quot;E&quot;"/>
    <numFmt numFmtId="172" formatCode="#,##0.0"/>
    <numFmt numFmtId="173" formatCode="0.0%"/>
    <numFmt numFmtId="174" formatCode="_ * #,##0.0_ ;_ * \-#,##0.0_ ;_ * &quot;-&quot;??_ ;_ @_ 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i/>
      <sz val="11"/>
      <color theme="1" tint="0.49998474074526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1"/>
      <color rgb="FF22222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/>
      <bottom style="hair">
        <color rgb="FF00206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96">
    <xf numFmtId="0" fontId="0" fillId="0" borderId="0" xfId="0"/>
    <xf numFmtId="164" fontId="1" fillId="0" borderId="0" xfId="1" applyFont="1" applyBorder="1"/>
    <xf numFmtId="0" fontId="1" fillId="0" borderId="0" xfId="0" applyFont="1"/>
    <xf numFmtId="0" fontId="6" fillId="0" borderId="0" xfId="0" applyFont="1"/>
    <xf numFmtId="164" fontId="0" fillId="0" borderId="0" xfId="1" applyFont="1" applyBorder="1"/>
    <xf numFmtId="10" fontId="0" fillId="0" borderId="0" xfId="0" applyNumberFormat="1"/>
    <xf numFmtId="164" fontId="3" fillId="0" borderId="0" xfId="1" applyFont="1" applyBorder="1"/>
    <xf numFmtId="9" fontId="3" fillId="0" borderId="0" xfId="1" applyNumberFormat="1" applyFont="1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4" fontId="0" fillId="0" borderId="0" xfId="1" applyFont="1" applyBorder="1" applyAlignment="1">
      <alignment horizontal="center"/>
    </xf>
    <xf numFmtId="164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7" fillId="0" borderId="0" xfId="1" applyNumberFormat="1" applyFont="1" applyFill="1" applyBorder="1"/>
    <xf numFmtId="0" fontId="7" fillId="0" borderId="0" xfId="0" applyFont="1"/>
    <xf numFmtId="43" fontId="0" fillId="0" borderId="0" xfId="1" applyNumberFormat="1" applyFont="1" applyBorder="1"/>
    <xf numFmtId="17" fontId="0" fillId="0" borderId="0" xfId="0" applyNumberFormat="1"/>
    <xf numFmtId="0" fontId="5" fillId="6" borderId="0" xfId="0" applyFont="1" applyFill="1"/>
    <xf numFmtId="17" fontId="5" fillId="6" borderId="0" xfId="0" applyNumberFormat="1" applyFont="1" applyFill="1"/>
    <xf numFmtId="17" fontId="5" fillId="6" borderId="0" xfId="0" applyNumberFormat="1" applyFont="1" applyFill="1" applyAlignment="1">
      <alignment horizontal="right"/>
    </xf>
    <xf numFmtId="166" fontId="0" fillId="0" borderId="0" xfId="0" applyNumberFormat="1"/>
    <xf numFmtId="0" fontId="9" fillId="0" borderId="0" xfId="0" applyFont="1"/>
    <xf numFmtId="10" fontId="9" fillId="0" borderId="0" xfId="6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0" fontId="0" fillId="7" borderId="0" xfId="0" applyFill="1"/>
    <xf numFmtId="0" fontId="5" fillId="7" borderId="0" xfId="0" applyFont="1" applyFill="1"/>
    <xf numFmtId="17" fontId="5" fillId="7" borderId="0" xfId="0" applyNumberFormat="1" applyFont="1" applyFill="1"/>
    <xf numFmtId="17" fontId="5" fillId="7" borderId="0" xfId="0" applyNumberFormat="1" applyFont="1" applyFill="1" applyAlignment="1">
      <alignment horizontal="right"/>
    </xf>
    <xf numFmtId="17" fontId="0" fillId="7" borderId="0" xfId="0" applyNumberFormat="1" applyFill="1"/>
    <xf numFmtId="0" fontId="0" fillId="8" borderId="0" xfId="0" applyFill="1"/>
    <xf numFmtId="0" fontId="1" fillId="8" borderId="0" xfId="0" applyFont="1" applyFill="1"/>
    <xf numFmtId="10" fontId="7" fillId="0" borderId="0" xfId="6" applyNumberFormat="1" applyFont="1"/>
    <xf numFmtId="0" fontId="5" fillId="7" borderId="0" xfId="0" applyFont="1" applyFill="1" applyAlignment="1">
      <alignment horizontal="left" vertical="center"/>
    </xf>
    <xf numFmtId="0" fontId="0" fillId="9" borderId="0" xfId="0" applyFill="1"/>
    <xf numFmtId="0" fontId="1" fillId="9" borderId="0" xfId="0" applyFont="1" applyFill="1"/>
    <xf numFmtId="0" fontId="11" fillId="0" borderId="0" xfId="0" applyFont="1"/>
    <xf numFmtId="3" fontId="0" fillId="0" borderId="0" xfId="0" applyNumberFormat="1"/>
    <xf numFmtId="0" fontId="1" fillId="0" borderId="1" xfId="0" applyFont="1" applyBorder="1"/>
    <xf numFmtId="166" fontId="1" fillId="0" borderId="1" xfId="0" applyNumberFormat="1" applyFont="1" applyBorder="1"/>
    <xf numFmtId="0" fontId="0" fillId="0" borderId="0" xfId="0" applyAlignment="1">
      <alignment wrapText="1"/>
    </xf>
    <xf numFmtId="10" fontId="0" fillId="0" borderId="0" xfId="6" applyNumberFormat="1" applyFont="1"/>
    <xf numFmtId="167" fontId="0" fillId="0" borderId="0" xfId="0" applyNumberFormat="1"/>
    <xf numFmtId="0" fontId="0" fillId="0" borderId="2" xfId="0" applyBorder="1"/>
    <xf numFmtId="10" fontId="0" fillId="0" borderId="2" xfId="6" applyNumberFormat="1" applyFont="1" applyBorder="1"/>
    <xf numFmtId="10" fontId="0" fillId="0" borderId="0" xfId="6" applyNumberFormat="1" applyFont="1" applyBorder="1"/>
    <xf numFmtId="0" fontId="0" fillId="0" borderId="3" xfId="0" applyBorder="1"/>
    <xf numFmtId="10" fontId="0" fillId="0" borderId="3" xfId="6" applyNumberFormat="1" applyFont="1" applyBorder="1"/>
    <xf numFmtId="10" fontId="0" fillId="0" borderId="3" xfId="0" applyNumberFormat="1" applyBorder="1"/>
    <xf numFmtId="167" fontId="0" fillId="0" borderId="3" xfId="0" applyNumberFormat="1" applyBorder="1"/>
    <xf numFmtId="167" fontId="0" fillId="0" borderId="2" xfId="0" applyNumberFormat="1" applyBorder="1"/>
    <xf numFmtId="168" fontId="0" fillId="0" borderId="2" xfId="0" applyNumberFormat="1" applyBorder="1"/>
    <xf numFmtId="168" fontId="0" fillId="0" borderId="0" xfId="0" applyNumberFormat="1"/>
    <xf numFmtId="168" fontId="0" fillId="0" borderId="3" xfId="0" applyNumberFormat="1" applyBorder="1"/>
    <xf numFmtId="17" fontId="5" fillId="6" borderId="0" xfId="0" applyNumberFormat="1" applyFont="1" applyFill="1" applyAlignment="1">
      <alignment horizontal="center"/>
    </xf>
    <xf numFmtId="0" fontId="12" fillId="6" borderId="0" xfId="0" applyFont="1" applyFill="1" applyAlignment="1">
      <alignment horizontal="left"/>
    </xf>
    <xf numFmtId="17" fontId="12" fillId="6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17" fontId="12" fillId="6" borderId="0" xfId="0" applyNumberFormat="1" applyFont="1" applyFill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172" fontId="0" fillId="0" borderId="0" xfId="0" applyNumberFormat="1"/>
    <xf numFmtId="173" fontId="0" fillId="0" borderId="0" xfId="6" applyNumberFormat="1" applyFont="1"/>
    <xf numFmtId="0" fontId="0" fillId="10" borderId="0" xfId="0" applyFill="1" applyAlignment="1">
      <alignment horizontal="left"/>
    </xf>
    <xf numFmtId="171" fontId="0" fillId="10" borderId="0" xfId="0" applyNumberFormat="1" applyFill="1" applyAlignment="1">
      <alignment horizontal="left"/>
    </xf>
    <xf numFmtId="172" fontId="0" fillId="10" borderId="0" xfId="0" applyNumberFormat="1" applyFill="1"/>
    <xf numFmtId="173" fontId="0" fillId="10" borderId="0" xfId="6" applyNumberFormat="1" applyFont="1" applyFill="1"/>
    <xf numFmtId="0" fontId="0" fillId="0" borderId="0" xfId="0" applyFill="1"/>
    <xf numFmtId="4" fontId="0" fillId="0" borderId="0" xfId="0" applyNumberFormat="1"/>
    <xf numFmtId="16" fontId="0" fillId="0" borderId="0" xfId="0" applyNumberFormat="1"/>
    <xf numFmtId="4" fontId="13" fillId="0" borderId="0" xfId="0" applyNumberFormat="1" applyFont="1"/>
    <xf numFmtId="4" fontId="0" fillId="0" borderId="0" xfId="0" applyNumberFormat="1" applyFont="1"/>
    <xf numFmtId="4" fontId="1" fillId="0" borderId="0" xfId="0" applyNumberFormat="1" applyFont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  <xf numFmtId="0" fontId="10" fillId="6" borderId="0" xfId="0" applyFont="1" applyFill="1" applyAlignment="1">
      <alignment horizontal="center"/>
    </xf>
    <xf numFmtId="0" fontId="0" fillId="0" borderId="0" xfId="0" applyAlignment="1">
      <alignment horizontal="center"/>
    </xf>
    <xf numFmtId="174" fontId="1" fillId="0" borderId="4" xfId="1" applyNumberFormat="1" applyFont="1" applyBorder="1" applyAlignment="1">
      <alignment horizontal="center"/>
    </xf>
    <xf numFmtId="174" fontId="0" fillId="0" borderId="5" xfId="1" applyNumberFormat="1" applyFont="1" applyBorder="1" applyAlignment="1">
      <alignment horizontal="center"/>
    </xf>
    <xf numFmtId="174" fontId="0" fillId="0" borderId="5" xfId="0" applyNumberFormat="1" applyBorder="1"/>
    <xf numFmtId="174" fontId="0" fillId="0" borderId="4" xfId="1" applyNumberFormat="1" applyFont="1" applyBorder="1" applyAlignment="1">
      <alignment horizontal="center"/>
    </xf>
    <xf numFmtId="174" fontId="0" fillId="0" borderId="4" xfId="0" applyNumberFormat="1" applyBorder="1"/>
    <xf numFmtId="174" fontId="0" fillId="0" borderId="7" xfId="1" applyNumberFormat="1" applyFont="1" applyBorder="1" applyAlignment="1">
      <alignment horizontal="center"/>
    </xf>
    <xf numFmtId="174" fontId="0" fillId="0" borderId="7" xfId="0" applyNumberFormat="1" applyBorder="1"/>
    <xf numFmtId="174" fontId="1" fillId="0" borderId="5" xfId="1" applyNumberFormat="1" applyFont="1" applyBorder="1" applyAlignment="1">
      <alignment horizontal="center"/>
    </xf>
    <xf numFmtId="0" fontId="1" fillId="0" borderId="6" xfId="0" applyFont="1" applyBorder="1"/>
    <xf numFmtId="174" fontId="1" fillId="0" borderId="6" xfId="1" applyNumberFormat="1" applyFont="1" applyBorder="1" applyAlignment="1">
      <alignment horizontal="center"/>
    </xf>
    <xf numFmtId="174" fontId="1" fillId="0" borderId="6" xfId="0" applyNumberFormat="1" applyFont="1" applyBorder="1"/>
    <xf numFmtId="0" fontId="2" fillId="6" borderId="0" xfId="0" applyFont="1" applyFill="1"/>
    <xf numFmtId="165" fontId="2" fillId="6" borderId="0" xfId="0" applyNumberFormat="1" applyFont="1" applyFill="1" applyAlignment="1">
      <alignment horizontal="center"/>
    </xf>
    <xf numFmtId="0" fontId="0" fillId="6" borderId="0" xfId="0" applyFill="1"/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shwa/Downloads/Tata_Motors_DCF_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CF - Tata Motors"/>
    </sheetNames>
    <sheetDataSet>
      <sheetData sheetId="0">
        <row r="1">
          <cell r="G1" t="str">
            <v>ΔWC (2%)</v>
          </cell>
          <cell r="H1" t="str">
            <v>FCFF</v>
          </cell>
          <cell r="I1" t="str">
            <v>Discount Factor (11%)</v>
          </cell>
          <cell r="J1" t="str">
            <v>PV of FCFF</v>
          </cell>
        </row>
        <row r="2">
          <cell r="B2">
            <v>468720</v>
          </cell>
          <cell r="C2">
            <v>60933.599999999999</v>
          </cell>
          <cell r="D2">
            <v>45700.2</v>
          </cell>
          <cell r="E2">
            <v>28123.200000000001</v>
          </cell>
          <cell r="F2">
            <v>32810.400000000001</v>
          </cell>
          <cell r="G2">
            <v>9374.4</v>
          </cell>
          <cell r="H2">
            <v>31638.599999999991</v>
          </cell>
          <cell r="I2">
            <v>0.9009009009009008</v>
          </cell>
          <cell r="J2">
            <v>28503.243243243229</v>
          </cell>
        </row>
        <row r="3">
          <cell r="B3">
            <v>501530</v>
          </cell>
          <cell r="C3">
            <v>65198.9</v>
          </cell>
          <cell r="D3">
            <v>48899.175000000003</v>
          </cell>
          <cell r="E3">
            <v>30091.8</v>
          </cell>
          <cell r="F3">
            <v>35107.100000000013</v>
          </cell>
          <cell r="G3">
            <v>10030.6</v>
          </cell>
          <cell r="H3">
            <v>33853.275000000001</v>
          </cell>
          <cell r="I3">
            <v>0.8116224332440547</v>
          </cell>
          <cell r="J3">
            <v>27476.077428780129</v>
          </cell>
        </row>
        <row r="4">
          <cell r="B4">
            <v>531622</v>
          </cell>
          <cell r="C4">
            <v>69110.86</v>
          </cell>
          <cell r="D4">
            <v>51833.144999999997</v>
          </cell>
          <cell r="E4">
            <v>31897.32</v>
          </cell>
          <cell r="F4">
            <v>37213.54</v>
          </cell>
          <cell r="G4">
            <v>10632.44</v>
          </cell>
          <cell r="H4">
            <v>35884.484999999993</v>
          </cell>
          <cell r="I4">
            <v>0.73119138130095018</v>
          </cell>
          <cell r="J4">
            <v>26238.426154423221</v>
          </cell>
        </row>
        <row r="5">
          <cell r="B5">
            <v>558203</v>
          </cell>
          <cell r="C5">
            <v>72566.39</v>
          </cell>
          <cell r="D5">
            <v>54424.792500000003</v>
          </cell>
          <cell r="E5">
            <v>33492.18</v>
          </cell>
          <cell r="F5">
            <v>39074.210000000006</v>
          </cell>
          <cell r="G5">
            <v>11164.06</v>
          </cell>
          <cell r="H5">
            <v>37678.702499999999</v>
          </cell>
          <cell r="I5">
            <v>0.65873097414500015</v>
          </cell>
          <cell r="J5">
            <v>24820.12840234465</v>
          </cell>
        </row>
        <row r="6">
          <cell r="B6">
            <v>586113</v>
          </cell>
          <cell r="C6">
            <v>76194.69</v>
          </cell>
          <cell r="D6">
            <v>57146.017500000002</v>
          </cell>
          <cell r="E6">
            <v>35166.78</v>
          </cell>
          <cell r="F6">
            <v>41027.910000000003</v>
          </cell>
          <cell r="G6">
            <v>11722.26</v>
          </cell>
          <cell r="H6">
            <v>39562.627500000002</v>
          </cell>
          <cell r="I6">
            <v>0.5934513280585586</v>
          </cell>
          <cell r="J6">
            <v>23478.493831361051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creener.in/excel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91" zoomScaleNormal="91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A4" sqref="A4"/>
    </sheetView>
  </sheetViews>
  <sheetFormatPr defaultColWidth="8.81640625" defaultRowHeight="14.5" x14ac:dyDescent="0.35"/>
  <cols>
    <col min="1" max="1" width="20.7265625" customWidth="1"/>
    <col min="2" max="6" width="13.453125" customWidth="1"/>
    <col min="7" max="7" width="14.81640625" bestFit="1" customWidth="1"/>
    <col min="8" max="11" width="13.453125" customWidth="1"/>
    <col min="12" max="12" width="13.26953125" customWidth="1"/>
    <col min="13" max="14" width="12.1796875" customWidth="1"/>
  </cols>
  <sheetData>
    <row r="1" spans="1:14" s="2" customFormat="1" x14ac:dyDescent="0.35">
      <c r="A1" s="2" t="str">
        <f>'Data Sheet'!B1</f>
        <v>TATA MOTORS LTD</v>
      </c>
      <c r="H1" t="str">
        <f>UPDATE</f>
        <v/>
      </c>
      <c r="J1" s="3"/>
      <c r="K1" s="3"/>
      <c r="M1" s="2" t="s">
        <v>1</v>
      </c>
    </row>
    <row r="3" spans="1:14" s="2" customFormat="1" x14ac:dyDescent="0.35">
      <c r="A3" s="11" t="s">
        <v>2</v>
      </c>
      <c r="B3" s="12">
        <f>'Data Sheet'!B16</f>
        <v>42460</v>
      </c>
      <c r="C3" s="12">
        <f>'Data Sheet'!C16</f>
        <v>42825</v>
      </c>
      <c r="D3" s="12">
        <f>'Data Sheet'!D16</f>
        <v>43190</v>
      </c>
      <c r="E3" s="12">
        <f>'Data Sheet'!E16</f>
        <v>43555</v>
      </c>
      <c r="F3" s="12">
        <f>'Data Sheet'!F16</f>
        <v>43921</v>
      </c>
      <c r="G3" s="12">
        <f>'Data Sheet'!G16</f>
        <v>44286</v>
      </c>
      <c r="H3" s="12">
        <f>'Data Sheet'!H16</f>
        <v>44651</v>
      </c>
      <c r="I3" s="12">
        <f>'Data Sheet'!I16</f>
        <v>45016</v>
      </c>
      <c r="J3" s="12">
        <f>'Data Sheet'!J16</f>
        <v>45382</v>
      </c>
      <c r="K3" s="12">
        <f>'Data Sheet'!K16</f>
        <v>45747</v>
      </c>
      <c r="L3" s="13" t="s">
        <v>3</v>
      </c>
      <c r="M3" s="13" t="s">
        <v>4</v>
      </c>
      <c r="N3" s="13" t="s">
        <v>5</v>
      </c>
    </row>
    <row r="4" spans="1:14" s="2" customFormat="1" x14ac:dyDescent="0.35">
      <c r="A4" s="2" t="s">
        <v>6</v>
      </c>
      <c r="B4" s="1">
        <f>'Data Sheet'!B17</f>
        <v>273045.59999999998</v>
      </c>
      <c r="C4" s="1">
        <f>'Data Sheet'!C17</f>
        <v>269692.51</v>
      </c>
      <c r="D4" s="1">
        <f>'Data Sheet'!D17</f>
        <v>291550.48</v>
      </c>
      <c r="E4" s="1">
        <f>'Data Sheet'!E17</f>
        <v>301938.40000000002</v>
      </c>
      <c r="F4" s="1">
        <f>'Data Sheet'!F17</f>
        <v>261067.97</v>
      </c>
      <c r="G4" s="1">
        <f>'Data Sheet'!G17</f>
        <v>249794.75</v>
      </c>
      <c r="H4" s="1">
        <f>'Data Sheet'!H17</f>
        <v>278453.62</v>
      </c>
      <c r="I4" s="1">
        <f>'Data Sheet'!I17</f>
        <v>345966.97</v>
      </c>
      <c r="J4" s="1">
        <f>'Data Sheet'!J17</f>
        <v>434016</v>
      </c>
      <c r="K4" s="1">
        <f>'Data Sheet'!K17</f>
        <v>439695</v>
      </c>
      <c r="L4" s="1">
        <f>SUM(Quarters!H4:K4)</f>
        <v>441609</v>
      </c>
      <c r="M4" s="1">
        <f>$K4+M23*K4</f>
        <v>512017.03850373905</v>
      </c>
      <c r="N4" s="1">
        <f>$K4+N23*L4</f>
        <v>445473.35266672197</v>
      </c>
    </row>
    <row r="5" spans="1:14" x14ac:dyDescent="0.35">
      <c r="A5" t="s">
        <v>7</v>
      </c>
      <c r="B5" s="6">
        <f>SUM('Data Sheet'!B18,'Data Sheet'!B20:B24, -1*'Data Sheet'!B19)</f>
        <v>234650.35</v>
      </c>
      <c r="C5" s="6">
        <f>SUM('Data Sheet'!C18,'Data Sheet'!C20:C24, -1*'Data Sheet'!C19)</f>
        <v>240103.81999999998</v>
      </c>
      <c r="D5" s="6">
        <f>SUM('Data Sheet'!D18,'Data Sheet'!D20:D24, -1*'Data Sheet'!D19)</f>
        <v>260092.80000000002</v>
      </c>
      <c r="E5" s="6">
        <f>SUM('Data Sheet'!E18,'Data Sheet'!E20:E24, -1*'Data Sheet'!E19)</f>
        <v>277274.07</v>
      </c>
      <c r="F5" s="6">
        <f>SUM('Data Sheet'!F18,'Data Sheet'!F20:F24, -1*'Data Sheet'!F19)</f>
        <v>243080.90000000005</v>
      </c>
      <c r="G5" s="6">
        <f>SUM('Data Sheet'!G18,'Data Sheet'!G20:G24, -1*'Data Sheet'!G19)</f>
        <v>217507.32</v>
      </c>
      <c r="H5" s="6">
        <f>SUM('Data Sheet'!H18,'Data Sheet'!H20:H24, -1*'Data Sheet'!H19)</f>
        <v>253733.52999999997</v>
      </c>
      <c r="I5" s="6">
        <f>SUM('Data Sheet'!I18,'Data Sheet'!I20:I24, -1*'Data Sheet'!I19)</f>
        <v>314151.17000000004</v>
      </c>
      <c r="J5" s="6">
        <f>SUM('Data Sheet'!J18,'Data Sheet'!J20:J24, -1*'Data Sheet'!J19)</f>
        <v>376192</v>
      </c>
      <c r="K5" s="6">
        <f>SUM('Data Sheet'!K18,'Data Sheet'!K20:K24, -1*'Data Sheet'!K19)</f>
        <v>384479</v>
      </c>
      <c r="L5" s="6">
        <f>SUM(Quarters!H5:K5)</f>
        <v>384424</v>
      </c>
      <c r="M5" s="6">
        <f t="shared" ref="M5:N5" si="0">M4-M6</f>
        <v>445714.73409681726</v>
      </c>
      <c r="N5" s="6">
        <f t="shared" si="0"/>
        <v>398338.79456236039</v>
      </c>
    </row>
    <row r="6" spans="1:14" s="2" customFormat="1" x14ac:dyDescent="0.35">
      <c r="A6" s="2" t="s">
        <v>8</v>
      </c>
      <c r="B6" s="1">
        <f>B4-B5</f>
        <v>38395.249999999971</v>
      </c>
      <c r="C6" s="1">
        <f t="shared" ref="C6:K6" si="1">C4-C5</f>
        <v>29588.690000000031</v>
      </c>
      <c r="D6" s="1">
        <f t="shared" si="1"/>
        <v>31457.679999999964</v>
      </c>
      <c r="E6" s="1">
        <f t="shared" si="1"/>
        <v>24664.330000000016</v>
      </c>
      <c r="F6" s="1">
        <f t="shared" si="1"/>
        <v>17987.069999999949</v>
      </c>
      <c r="G6" s="1">
        <f t="shared" si="1"/>
        <v>32287.429999999993</v>
      </c>
      <c r="H6" s="1">
        <f t="shared" si="1"/>
        <v>24720.090000000026</v>
      </c>
      <c r="I6" s="1">
        <f t="shared" si="1"/>
        <v>31815.79999999993</v>
      </c>
      <c r="J6" s="1">
        <f t="shared" si="1"/>
        <v>57824</v>
      </c>
      <c r="K6" s="1">
        <f t="shared" si="1"/>
        <v>55216</v>
      </c>
      <c r="L6" s="1">
        <f>SUM(Quarters!H6:K6)</f>
        <v>57185</v>
      </c>
      <c r="M6" s="1">
        <f>M4*M24</f>
        <v>66302.304406921787</v>
      </c>
      <c r="N6" s="1">
        <f>N4*N24</f>
        <v>47134.558104361568</v>
      </c>
    </row>
    <row r="7" spans="1:14" x14ac:dyDescent="0.35">
      <c r="A7" t="s">
        <v>9</v>
      </c>
      <c r="B7" s="6">
        <f>'Data Sheet'!B25</f>
        <v>-2669.62</v>
      </c>
      <c r="C7" s="6">
        <f>'Data Sheet'!C25</f>
        <v>1869.1</v>
      </c>
      <c r="D7" s="6">
        <f>'Data Sheet'!D25</f>
        <v>5932.73</v>
      </c>
      <c r="E7" s="6">
        <f>'Data Sheet'!E25</f>
        <v>-26686.25</v>
      </c>
      <c r="F7" s="6">
        <f>'Data Sheet'!F25</f>
        <v>101.71</v>
      </c>
      <c r="G7" s="6">
        <f>'Data Sheet'!G25</f>
        <v>-11117.83</v>
      </c>
      <c r="H7" s="6">
        <f>'Data Sheet'!H25</f>
        <v>2424.0500000000002</v>
      </c>
      <c r="I7" s="6">
        <f>'Data Sheet'!I25</f>
        <v>6663.97</v>
      </c>
      <c r="J7" s="6">
        <f>'Data Sheet'!J25</f>
        <v>4792</v>
      </c>
      <c r="K7" s="6">
        <f>'Data Sheet'!K25</f>
        <v>11774</v>
      </c>
      <c r="L7" s="6">
        <f>SUM(Quarters!H7:K7)</f>
        <v>6151</v>
      </c>
      <c r="M7" s="6">
        <v>0</v>
      </c>
      <c r="N7" s="6">
        <v>0</v>
      </c>
    </row>
    <row r="8" spans="1:14" x14ac:dyDescent="0.35">
      <c r="A8" t="s">
        <v>10</v>
      </c>
      <c r="B8" s="6">
        <f>'Data Sheet'!B26</f>
        <v>16710.78</v>
      </c>
      <c r="C8" s="6">
        <f>'Data Sheet'!C26</f>
        <v>17904.990000000002</v>
      </c>
      <c r="D8" s="6">
        <f>'Data Sheet'!D26</f>
        <v>21553.59</v>
      </c>
      <c r="E8" s="6">
        <f>'Data Sheet'!E26</f>
        <v>23590.63</v>
      </c>
      <c r="F8" s="6">
        <f>'Data Sheet'!F26</f>
        <v>21425.43</v>
      </c>
      <c r="G8" s="6">
        <f>'Data Sheet'!G26</f>
        <v>23546.71</v>
      </c>
      <c r="H8" s="6">
        <f>'Data Sheet'!H26</f>
        <v>24835.69</v>
      </c>
      <c r="I8" s="6">
        <f>'Data Sheet'!I26</f>
        <v>24860.36</v>
      </c>
      <c r="J8" s="6">
        <f>'Data Sheet'!J26</f>
        <v>27239</v>
      </c>
      <c r="K8" s="6">
        <f>'Data Sheet'!K26</f>
        <v>23256</v>
      </c>
      <c r="L8" s="6">
        <f>SUM(Quarters!H8:K8)</f>
        <v>23273</v>
      </c>
      <c r="M8" s="6">
        <f>+$L8</f>
        <v>23273</v>
      </c>
      <c r="N8" s="6">
        <f>+$L8</f>
        <v>23273</v>
      </c>
    </row>
    <row r="9" spans="1:14" x14ac:dyDescent="0.35">
      <c r="A9" t="s">
        <v>11</v>
      </c>
      <c r="B9" s="6">
        <f>'Data Sheet'!B27</f>
        <v>4889.08</v>
      </c>
      <c r="C9" s="6">
        <f>'Data Sheet'!C27</f>
        <v>4238.01</v>
      </c>
      <c r="D9" s="6">
        <f>'Data Sheet'!D27</f>
        <v>4681.79</v>
      </c>
      <c r="E9" s="6">
        <f>'Data Sheet'!E27</f>
        <v>5758.6</v>
      </c>
      <c r="F9" s="6">
        <f>'Data Sheet'!F27</f>
        <v>7243.33</v>
      </c>
      <c r="G9" s="6">
        <f>'Data Sheet'!G27</f>
        <v>8097.17</v>
      </c>
      <c r="H9" s="6">
        <f>'Data Sheet'!H27</f>
        <v>9311.86</v>
      </c>
      <c r="I9" s="6">
        <f>'Data Sheet'!I27</f>
        <v>10225.48</v>
      </c>
      <c r="J9" s="6">
        <f>'Data Sheet'!J27</f>
        <v>7594</v>
      </c>
      <c r="K9" s="6">
        <f>'Data Sheet'!K27</f>
        <v>5083</v>
      </c>
      <c r="L9" s="6">
        <f>SUM(Quarters!H9:K9)</f>
        <v>6317</v>
      </c>
      <c r="M9" s="6">
        <f>+$L9</f>
        <v>6317</v>
      </c>
      <c r="N9" s="6">
        <f>+$L9</f>
        <v>6317</v>
      </c>
    </row>
    <row r="10" spans="1:14" x14ac:dyDescent="0.35">
      <c r="A10" t="s">
        <v>12</v>
      </c>
      <c r="B10" s="6">
        <f>'Data Sheet'!B28</f>
        <v>14125.77</v>
      </c>
      <c r="C10" s="6">
        <f>'Data Sheet'!C28</f>
        <v>9314.7900000000009</v>
      </c>
      <c r="D10" s="6">
        <f>'Data Sheet'!D28</f>
        <v>11155.03</v>
      </c>
      <c r="E10" s="6">
        <f>'Data Sheet'!E28</f>
        <v>-31371.15</v>
      </c>
      <c r="F10" s="6">
        <f>'Data Sheet'!F28</f>
        <v>-10579.98</v>
      </c>
      <c r="G10" s="6">
        <f>'Data Sheet'!G28</f>
        <v>-10474.280000000001</v>
      </c>
      <c r="H10" s="6">
        <f>'Data Sheet'!H28</f>
        <v>-7003.41</v>
      </c>
      <c r="I10" s="6">
        <f>'Data Sheet'!I28</f>
        <v>3393.93</v>
      </c>
      <c r="J10" s="6">
        <f>'Data Sheet'!J28</f>
        <v>27783</v>
      </c>
      <c r="K10" s="6">
        <f>'Data Sheet'!K28</f>
        <v>38651</v>
      </c>
      <c r="L10" s="6">
        <f>SUM(Quarters!H10:K10)</f>
        <v>33746</v>
      </c>
      <c r="M10" s="6">
        <f>M6+M7-SUM(M8:M9)</f>
        <v>36712.304406921787</v>
      </c>
      <c r="N10" s="6">
        <f>N6+N7-SUM(N8:N9)</f>
        <v>17544.558104361568</v>
      </c>
    </row>
    <row r="11" spans="1:14" x14ac:dyDescent="0.35">
      <c r="A11" t="s">
        <v>13</v>
      </c>
      <c r="B11" s="6">
        <f>'Data Sheet'!B29</f>
        <v>3025.05</v>
      </c>
      <c r="C11" s="6">
        <f>'Data Sheet'!C29</f>
        <v>3251.23</v>
      </c>
      <c r="D11" s="6">
        <f>'Data Sheet'!D29</f>
        <v>4341.93</v>
      </c>
      <c r="E11" s="6">
        <f>'Data Sheet'!E29</f>
        <v>-2437.4499999999998</v>
      </c>
      <c r="F11" s="6">
        <f>'Data Sheet'!F29</f>
        <v>395.25</v>
      </c>
      <c r="G11" s="6">
        <f>'Data Sheet'!G29</f>
        <v>2541.86</v>
      </c>
      <c r="H11" s="6">
        <f>'Data Sheet'!H29</f>
        <v>4231.29</v>
      </c>
      <c r="I11" s="6">
        <f>'Data Sheet'!I29</f>
        <v>704.06</v>
      </c>
      <c r="J11" s="6">
        <f>'Data Sheet'!J29</f>
        <v>-4024</v>
      </c>
      <c r="K11" s="6">
        <f>'Data Sheet'!K29</f>
        <v>10502</v>
      </c>
      <c r="L11" s="6">
        <f>SUM(Quarters!H11:K11)</f>
        <v>10563</v>
      </c>
      <c r="M11" s="7">
        <f>IF($L10&gt;0,$L11/$L10,0)</f>
        <v>0.31301487583713627</v>
      </c>
      <c r="N11" s="7">
        <f>IF($L10&gt;0,$L11/$L10,0)</f>
        <v>0.31301487583713627</v>
      </c>
    </row>
    <row r="12" spans="1:14" s="2" customFormat="1" x14ac:dyDescent="0.35">
      <c r="A12" s="2" t="s">
        <v>14</v>
      </c>
      <c r="B12" s="1">
        <f>'Data Sheet'!B30</f>
        <v>11579.31</v>
      </c>
      <c r="C12" s="1">
        <f>'Data Sheet'!C30</f>
        <v>7454.36</v>
      </c>
      <c r="D12" s="1">
        <f>'Data Sheet'!D30</f>
        <v>8988.91</v>
      </c>
      <c r="E12" s="1">
        <f>'Data Sheet'!E30</f>
        <v>-28826.23</v>
      </c>
      <c r="F12" s="1">
        <f>'Data Sheet'!F30</f>
        <v>-12070.85</v>
      </c>
      <c r="G12" s="1">
        <f>'Data Sheet'!G30</f>
        <v>-13451.39</v>
      </c>
      <c r="H12" s="1">
        <f>'Data Sheet'!H30</f>
        <v>-11441.47</v>
      </c>
      <c r="I12" s="1">
        <f>'Data Sheet'!I30</f>
        <v>2414.29</v>
      </c>
      <c r="J12" s="1">
        <f>'Data Sheet'!J30</f>
        <v>31399</v>
      </c>
      <c r="K12" s="1">
        <f>'Data Sheet'!K30</f>
        <v>27830</v>
      </c>
      <c r="L12" s="1">
        <f>SUM(Quarters!H12:K12)</f>
        <v>22785</v>
      </c>
      <c r="M12" s="1">
        <f>M10-M11*M10</f>
        <v>25220.807001294015</v>
      </c>
      <c r="N12" s="1">
        <f>N10-N11*N10</f>
        <v>12052.85042770741</v>
      </c>
    </row>
    <row r="13" spans="1:14" x14ac:dyDescent="0.35">
      <c r="A13" t="s">
        <v>48</v>
      </c>
      <c r="B13" s="6">
        <f>IF('Data Sheet'!B93&gt;0,B12/'Data Sheet'!B93,0)</f>
        <v>40.105673316708227</v>
      </c>
      <c r="C13" s="6">
        <f>IF('Data Sheet'!C93&gt;0,C12/'Data Sheet'!C93,0)</f>
        <v>25.817753610639695</v>
      </c>
      <c r="D13" s="6">
        <f>IF('Data Sheet'!D93&gt;0,D12/'Data Sheet'!D93,0)</f>
        <v>31.132580611644094</v>
      </c>
      <c r="E13" s="6">
        <f>IF('Data Sheet'!E93&gt;0,E12/'Data Sheet'!E93,0)</f>
        <v>-99.838014754268684</v>
      </c>
      <c r="F13" s="6">
        <f>IF('Data Sheet'!F93&gt;0,F12/'Data Sheet'!F93,0)</f>
        <v>-39.076885723535128</v>
      </c>
      <c r="G13" s="6">
        <f>IF('Data Sheet'!G93&gt;0,G12/'Data Sheet'!G93,0)</f>
        <v>-40.512574164985097</v>
      </c>
      <c r="H13" s="6">
        <f>IF('Data Sheet'!H93&gt;0,H12/'Data Sheet'!H93,0)</f>
        <v>-34.454994428885477</v>
      </c>
      <c r="I13" s="6">
        <f>IF('Data Sheet'!I93&gt;0,I12/'Data Sheet'!I93,0)</f>
        <v>7.2691114924878812</v>
      </c>
      <c r="J13" s="6">
        <f>IF('Data Sheet'!J93&gt;0,J12/'Data Sheet'!J93,0)</f>
        <v>94.470018353040288</v>
      </c>
      <c r="K13" s="6">
        <f>IF('Data Sheet'!K93&gt;0,K12/'Data Sheet'!K93,0)</f>
        <v>75.598294080895343</v>
      </c>
      <c r="L13" s="6">
        <f>IF('Data Sheet'!$B6&gt;0,'Profit &amp; Loss'!L12/'Data Sheet'!$B6,0)</f>
        <v>61.882269826555195</v>
      </c>
      <c r="M13" s="6">
        <f>IF('Data Sheet'!$B6&gt;0,'Profit &amp; Loss'!M12/'Data Sheet'!$B6,0)</f>
        <v>68.497730265417971</v>
      </c>
      <c r="N13" s="6">
        <f>IF('Data Sheet'!$B6&gt;0,'Profit &amp; Loss'!N12/'Data Sheet'!$B6,0)</f>
        <v>32.734594792473168</v>
      </c>
    </row>
    <row r="14" spans="1:14" x14ac:dyDescent="0.35">
      <c r="A14" t="s">
        <v>16</v>
      </c>
      <c r="B14" s="6">
        <f>IF(B15&gt;0,B15/B13,"")</f>
        <v>9.6395339618681959</v>
      </c>
      <c r="C14" s="6">
        <f t="shared" ref="C14:K14" si="2">IF(C15&gt;0,C15/C13,"")</f>
        <v>18.043785180753279</v>
      </c>
      <c r="D14" s="6">
        <f t="shared" si="2"/>
        <v>10.4986478338308</v>
      </c>
      <c r="E14" s="6">
        <f t="shared" si="2"/>
        <v>-1.7453271725092045</v>
      </c>
      <c r="F14" s="6">
        <f t="shared" si="2"/>
        <v>-1.8182103994333454</v>
      </c>
      <c r="G14" s="6">
        <f t="shared" si="2"/>
        <v>-7.4495389695786081</v>
      </c>
      <c r="H14" s="6">
        <f t="shared" si="2"/>
        <v>-12.588886087189845</v>
      </c>
      <c r="I14" s="6">
        <f t="shared" si="2"/>
        <v>57.88878055246056</v>
      </c>
      <c r="J14" s="6">
        <f t="shared" si="2"/>
        <v>10.509154304277205</v>
      </c>
      <c r="K14" s="6">
        <f t="shared" si="2"/>
        <v>8.9214976104922741</v>
      </c>
      <c r="L14" s="6">
        <f t="shared" ref="L14" si="3">IF(L13&gt;0,L15/L13,0)</f>
        <v>11.014463462804475</v>
      </c>
      <c r="M14" s="6">
        <f>M25</f>
        <v>22.083473982508625</v>
      </c>
      <c r="N14" s="6">
        <f>N25</f>
        <v>11.014463462804475</v>
      </c>
    </row>
    <row r="15" spans="1:14" s="2" customFormat="1" x14ac:dyDescent="0.35">
      <c r="A15" s="2" t="s">
        <v>49</v>
      </c>
      <c r="B15" s="1">
        <f>'Data Sheet'!B90</f>
        <v>386.6</v>
      </c>
      <c r="C15" s="1">
        <f>'Data Sheet'!C90</f>
        <v>465.85</v>
      </c>
      <c r="D15" s="1">
        <f>'Data Sheet'!D90</f>
        <v>326.85000000000002</v>
      </c>
      <c r="E15" s="1">
        <f>'Data Sheet'!E90</f>
        <v>174.25</v>
      </c>
      <c r="F15" s="1">
        <f>'Data Sheet'!F90</f>
        <v>71.05</v>
      </c>
      <c r="G15" s="1">
        <f>'Data Sheet'!G90</f>
        <v>301.8</v>
      </c>
      <c r="H15" s="1">
        <f>'Data Sheet'!H90</f>
        <v>433.75</v>
      </c>
      <c r="I15" s="1">
        <f>'Data Sheet'!I90</f>
        <v>420.8</v>
      </c>
      <c r="J15" s="1">
        <f>'Data Sheet'!J90</f>
        <v>992.8</v>
      </c>
      <c r="K15" s="1">
        <f>'Data Sheet'!K90</f>
        <v>674.45</v>
      </c>
      <c r="L15" s="1">
        <f>'Data Sheet'!B8</f>
        <v>681.6</v>
      </c>
      <c r="M15" s="8">
        <f>M13*M14</f>
        <v>1512.6678441772515</v>
      </c>
      <c r="N15" s="9">
        <f>N13*N14</f>
        <v>360.55399831140534</v>
      </c>
    </row>
    <row r="17" spans="1:14" s="2" customFormat="1" x14ac:dyDescent="0.35">
      <c r="A17" s="2" t="s">
        <v>15</v>
      </c>
    </row>
    <row r="18" spans="1:14" x14ac:dyDescent="0.35">
      <c r="A18" t="s">
        <v>17</v>
      </c>
      <c r="B18" s="5">
        <f>IF('Data Sheet'!B30&gt;0, 'Data Sheet'!B31/'Data Sheet'!B30, 0)</f>
        <v>5.8656344808110331E-3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0.31728582730326516</v>
      </c>
      <c r="J18" s="5">
        <f>IF('Data Sheet'!J30&gt;0, 'Data Sheet'!J31/'Data Sheet'!J30, 0)</f>
        <v>7.3282588617471889E-2</v>
      </c>
      <c r="K18" s="5">
        <f>IF('Data Sheet'!K30&gt;0, 'Data Sheet'!K31/'Data Sheet'!K30, 0)</f>
        <v>7.9338842975206617E-2</v>
      </c>
    </row>
    <row r="19" spans="1:14" x14ac:dyDescent="0.35">
      <c r="A19" t="s">
        <v>18</v>
      </c>
      <c r="B19" s="5">
        <f t="shared" ref="B19:L19" si="4">IF(B6&gt;0,B6/B4,0)</f>
        <v>0.14061845347443788</v>
      </c>
      <c r="C19" s="5">
        <f t="shared" ref="C19:K19" si="5">IF(C6&gt;0,C6/C4,0)</f>
        <v>0.10971268723777323</v>
      </c>
      <c r="D19" s="5">
        <f t="shared" si="5"/>
        <v>0.10789788444182964</v>
      </c>
      <c r="E19" s="5">
        <f t="shared" si="5"/>
        <v>8.1686628795807403E-2</v>
      </c>
      <c r="F19" s="5">
        <f t="shared" si="5"/>
        <v>6.8898034485042142E-2</v>
      </c>
      <c r="G19" s="5">
        <f t="shared" si="5"/>
        <v>0.12925583904385499</v>
      </c>
      <c r="H19" s="5">
        <f t="shared" si="5"/>
        <v>8.8776328352276501E-2</v>
      </c>
      <c r="I19" s="5">
        <f t="shared" si="5"/>
        <v>9.1961958102531965E-2</v>
      </c>
      <c r="J19" s="5">
        <f t="shared" si="5"/>
        <v>0.13323011133230112</v>
      </c>
      <c r="K19" s="5">
        <f t="shared" si="5"/>
        <v>0.12557795744777631</v>
      </c>
      <c r="L19" s="5">
        <f t="shared" si="4"/>
        <v>0.12949237900495689</v>
      </c>
    </row>
    <row r="20" spans="1:14" x14ac:dyDescent="0.3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5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5">
      <c r="A22" s="11"/>
      <c r="B22" s="12"/>
      <c r="C22" s="12"/>
      <c r="D22" s="12"/>
      <c r="E22" s="12"/>
      <c r="F22" s="12"/>
      <c r="G22" s="12" t="s">
        <v>19</v>
      </c>
      <c r="H22" s="12" t="s">
        <v>56</v>
      </c>
      <c r="I22" s="12" t="s">
        <v>57</v>
      </c>
      <c r="J22" s="12" t="s">
        <v>58</v>
      </c>
      <c r="K22" s="12" t="s">
        <v>59</v>
      </c>
      <c r="L22" s="13" t="s">
        <v>60</v>
      </c>
      <c r="M22" s="13" t="s">
        <v>20</v>
      </c>
      <c r="N22" s="13" t="s">
        <v>21</v>
      </c>
    </row>
    <row r="23" spans="1:14" s="2" customFormat="1" x14ac:dyDescent="0.35">
      <c r="A23"/>
      <c r="B23"/>
      <c r="C23"/>
      <c r="D23"/>
      <c r="E23"/>
      <c r="F23"/>
      <c r="G23" t="s">
        <v>22</v>
      </c>
      <c r="H23" s="5">
        <f>IF(B4=0,"",POWER($K4/B4,1/9)-1)</f>
        <v>5.4364329974180503E-2</v>
      </c>
      <c r="I23" s="5">
        <f>IF(D4=0,"",POWER($K4/D4,1/7)-1)</f>
        <v>6.0452229419457382E-2</v>
      </c>
      <c r="J23" s="5">
        <f>IF(F4=0,"",POWER($K4/F4,1/5)-1)</f>
        <v>0.10988910171869626</v>
      </c>
      <c r="K23" s="5">
        <f>IF(H4=0,"",POWER($K4/H4, 1/3)-1)</f>
        <v>0.164482285456371</v>
      </c>
      <c r="L23" s="5">
        <f>IF(ISERROR(MAX(IF(J4=0,"",(K4-J4)/J4),IF(K4=0,"",(L4-K4)/K4))),"",MAX(IF(J4=0,"",(K4-J4)/J4),IF(K4=0,"",(L4-K4)/K4)))</f>
        <v>1.3084771068347711E-2</v>
      </c>
      <c r="M23" s="16">
        <f>MAX(K23:L23)</f>
        <v>0.164482285456371</v>
      </c>
      <c r="N23" s="16">
        <f>MIN(H23:L23)</f>
        <v>1.3084771068347711E-2</v>
      </c>
    </row>
    <row r="24" spans="1:14" x14ac:dyDescent="0.35">
      <c r="G24" t="s">
        <v>18</v>
      </c>
      <c r="H24" s="5">
        <f>IF(SUM(B4:$K$4)=0,"",SUMPRODUCT(B19:$K$19,B4:$K$4)/SUM(B4:$K$4))</f>
        <v>0.1093583907752373</v>
      </c>
      <c r="I24" s="5">
        <f>IF(SUM(E4:$K$4)=0,"",SUMPRODUCT(E19:$K$19,E4:$K$4)/SUM(E4:$K$4))</f>
        <v>0.10580780606112929</v>
      </c>
      <c r="J24" s="5">
        <f>IF(SUM(G4:$K$4)=0,"",SUMPRODUCT(G19:$K$19,G4:$K$4)/SUM(G4:$K$4))</f>
        <v>0.11548731510047498</v>
      </c>
      <c r="K24" s="5">
        <f>IF(SUM(I4:$K$4)=0, "", SUMPRODUCT(I19:$K$19,I4:$K$4)/SUM(I4:$K$4))</f>
        <v>0.11876561154908778</v>
      </c>
      <c r="L24" s="5">
        <f>L19</f>
        <v>0.12949237900495689</v>
      </c>
      <c r="M24" s="16">
        <f>MAX(K24:L24)</f>
        <v>0.12949237900495689</v>
      </c>
      <c r="N24" s="16">
        <f>MIN(H24:L24)</f>
        <v>0.10580780606112929</v>
      </c>
    </row>
    <row r="25" spans="1:14" x14ac:dyDescent="0.35">
      <c r="G25" t="s">
        <v>23</v>
      </c>
      <c r="H25" s="6">
        <f>IF(ISERROR(AVERAGEIF(B14:$L14,"&gt;0")),"",AVERAGEIF(B14:$L14,"&gt;0"))</f>
        <v>18.073694700926684</v>
      </c>
      <c r="I25" s="6">
        <f>IF(ISERROR(AVERAGEIF(E14:$L14,"&gt;0")),"",AVERAGEIF(E14:$L14,"&gt;0"))</f>
        <v>22.083473982508625</v>
      </c>
      <c r="J25" s="6">
        <f>IF(ISERROR(AVERAGEIF(G14:$L14,"&gt;0")),"",AVERAGEIF(G14:$L14,"&gt;0"))</f>
        <v>22.083473982508625</v>
      </c>
      <c r="K25" s="6">
        <f>IF(ISERROR(AVERAGEIF(I14:$L14,"&gt;0")),"",AVERAGEIF(I14:$L14,"&gt;0"))</f>
        <v>22.083473982508625</v>
      </c>
      <c r="L25" s="6">
        <f>L14</f>
        <v>11.014463462804475</v>
      </c>
      <c r="M25" s="1">
        <f>MAX(K25:L25)</f>
        <v>22.083473982508625</v>
      </c>
      <c r="N25" s="1">
        <f>MIN(H25:L25)</f>
        <v>11.014463462804475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81640625" defaultRowHeight="14.5" x14ac:dyDescent="0.35"/>
  <cols>
    <col min="1" max="1" width="20.7265625" customWidth="1"/>
    <col min="2" max="11" width="13.453125" bestFit="1" customWidth="1"/>
  </cols>
  <sheetData>
    <row r="1" spans="1:11" s="2" customFormat="1" x14ac:dyDescent="0.35">
      <c r="A1" s="2" t="str">
        <f>'Profit &amp; Loss'!A1</f>
        <v>TATA MOTORS LTD</v>
      </c>
      <c r="E1" t="str">
        <f>UPDATE</f>
        <v/>
      </c>
      <c r="J1" s="2" t="s">
        <v>1</v>
      </c>
    </row>
    <row r="3" spans="1:11" s="2" customFormat="1" x14ac:dyDescent="0.35">
      <c r="A3" s="11" t="s">
        <v>2</v>
      </c>
      <c r="B3" s="12">
        <f>'Data Sheet'!B41</f>
        <v>44926</v>
      </c>
      <c r="C3" s="12">
        <f>'Data Sheet'!C41</f>
        <v>45016</v>
      </c>
      <c r="D3" s="12">
        <f>'Data Sheet'!D41</f>
        <v>45107</v>
      </c>
      <c r="E3" s="12">
        <f>'Data Sheet'!E41</f>
        <v>45199</v>
      </c>
      <c r="F3" s="12">
        <f>'Data Sheet'!F41</f>
        <v>45291</v>
      </c>
      <c r="G3" s="12">
        <f>'Data Sheet'!G41</f>
        <v>45382</v>
      </c>
      <c r="H3" s="12">
        <f>'Data Sheet'!H41</f>
        <v>45473</v>
      </c>
      <c r="I3" s="12">
        <f>'Data Sheet'!I41</f>
        <v>45565</v>
      </c>
      <c r="J3" s="12">
        <f>'Data Sheet'!J41</f>
        <v>45657</v>
      </c>
      <c r="K3" s="12">
        <f>'Data Sheet'!K41</f>
        <v>45747</v>
      </c>
    </row>
    <row r="4" spans="1:11" s="2" customFormat="1" x14ac:dyDescent="0.35">
      <c r="A4" s="2" t="s">
        <v>6</v>
      </c>
      <c r="B4" s="1">
        <f>'Data Sheet'!B42</f>
        <v>88488.59</v>
      </c>
      <c r="C4" s="1">
        <f>'Data Sheet'!C42</f>
        <v>105932.35</v>
      </c>
      <c r="D4" s="1">
        <f>'Data Sheet'!D42</f>
        <v>102236</v>
      </c>
      <c r="E4" s="1">
        <f>'Data Sheet'!E42</f>
        <v>105129</v>
      </c>
      <c r="F4" s="1">
        <f>'Data Sheet'!F42</f>
        <v>110577</v>
      </c>
      <c r="G4" s="1">
        <f>'Data Sheet'!G42</f>
        <v>119033</v>
      </c>
      <c r="H4" s="1">
        <f>'Data Sheet'!H42</f>
        <v>108048</v>
      </c>
      <c r="I4" s="1">
        <f>'Data Sheet'!I42</f>
        <v>101450</v>
      </c>
      <c r="J4" s="1">
        <f>'Data Sheet'!J42</f>
        <v>112608</v>
      </c>
      <c r="K4" s="1">
        <f>'Data Sheet'!K42</f>
        <v>119503</v>
      </c>
    </row>
    <row r="5" spans="1:11" x14ac:dyDescent="0.35">
      <c r="A5" t="s">
        <v>7</v>
      </c>
      <c r="B5" s="6">
        <f>'Data Sheet'!B43</f>
        <v>77668.350000000006</v>
      </c>
      <c r="C5" s="6">
        <f>'Data Sheet'!C43</f>
        <v>92817.95</v>
      </c>
      <c r="D5" s="6">
        <f>'Data Sheet'!D43</f>
        <v>89019</v>
      </c>
      <c r="E5" s="6">
        <f>'Data Sheet'!E43</f>
        <v>91362</v>
      </c>
      <c r="F5" s="6">
        <f>'Data Sheet'!F43</f>
        <v>95159</v>
      </c>
      <c r="G5" s="6">
        <f>'Data Sheet'!G43</f>
        <v>102348</v>
      </c>
      <c r="H5" s="6">
        <f>'Data Sheet'!H43</f>
        <v>92263</v>
      </c>
      <c r="I5" s="6">
        <f>'Data Sheet'!I43</f>
        <v>89291</v>
      </c>
      <c r="J5" s="6">
        <f>'Data Sheet'!J43</f>
        <v>100185</v>
      </c>
      <c r="K5" s="6">
        <f>'Data Sheet'!K43</f>
        <v>102685</v>
      </c>
    </row>
    <row r="6" spans="1:11" s="2" customFormat="1" x14ac:dyDescent="0.35">
      <c r="A6" s="2" t="s">
        <v>8</v>
      </c>
      <c r="B6" s="1">
        <f>'Data Sheet'!B50</f>
        <v>10820.24</v>
      </c>
      <c r="C6" s="1">
        <f>'Data Sheet'!C50</f>
        <v>13114.4</v>
      </c>
      <c r="D6" s="1">
        <f>'Data Sheet'!D50</f>
        <v>13217</v>
      </c>
      <c r="E6" s="1">
        <f>'Data Sheet'!E50</f>
        <v>13767</v>
      </c>
      <c r="F6" s="1">
        <f>'Data Sheet'!F50</f>
        <v>15418</v>
      </c>
      <c r="G6" s="1">
        <f>'Data Sheet'!G50</f>
        <v>16685</v>
      </c>
      <c r="H6" s="1">
        <f>'Data Sheet'!H50</f>
        <v>15785</v>
      </c>
      <c r="I6" s="1">
        <f>'Data Sheet'!I50</f>
        <v>12159</v>
      </c>
      <c r="J6" s="1">
        <f>'Data Sheet'!J50</f>
        <v>12423</v>
      </c>
      <c r="K6" s="1">
        <f>'Data Sheet'!K50</f>
        <v>16818</v>
      </c>
    </row>
    <row r="7" spans="1:11" x14ac:dyDescent="0.35">
      <c r="A7" t="s">
        <v>9</v>
      </c>
      <c r="B7" s="6">
        <f>'Data Sheet'!B44</f>
        <v>1129.98</v>
      </c>
      <c r="C7" s="6">
        <f>'Data Sheet'!C44</f>
        <v>1452.86</v>
      </c>
      <c r="D7" s="6">
        <f>'Data Sheet'!D44</f>
        <v>895</v>
      </c>
      <c r="E7" s="6">
        <f>'Data Sheet'!E44</f>
        <v>1557</v>
      </c>
      <c r="F7" s="6">
        <f>'Data Sheet'!F44</f>
        <v>1604</v>
      </c>
      <c r="G7" s="6">
        <f>'Data Sheet'!G44</f>
        <v>1412</v>
      </c>
      <c r="H7" s="6">
        <f>'Data Sheet'!H44</f>
        <v>1747</v>
      </c>
      <c r="I7" s="6">
        <f>'Data Sheet'!I44</f>
        <v>1647</v>
      </c>
      <c r="J7" s="6">
        <f>'Data Sheet'!J44</f>
        <v>1700</v>
      </c>
      <c r="K7" s="6">
        <f>'Data Sheet'!K44</f>
        <v>1057</v>
      </c>
    </row>
    <row r="8" spans="1:11" x14ac:dyDescent="0.35">
      <c r="A8" t="s">
        <v>10</v>
      </c>
      <c r="B8" s="6">
        <f>'Data Sheet'!B45</f>
        <v>6071.78</v>
      </c>
      <c r="C8" s="6">
        <f>'Data Sheet'!C45</f>
        <v>7050.2</v>
      </c>
      <c r="D8" s="6">
        <f>'Data Sheet'!D45</f>
        <v>6633</v>
      </c>
      <c r="E8" s="6">
        <f>'Data Sheet'!E45</f>
        <v>6637</v>
      </c>
      <c r="F8" s="6">
        <f>'Data Sheet'!F45</f>
        <v>6850</v>
      </c>
      <c r="G8" s="6">
        <f>'Data Sheet'!G45</f>
        <v>7143</v>
      </c>
      <c r="H8" s="6">
        <f>'Data Sheet'!H45</f>
        <v>6574</v>
      </c>
      <c r="I8" s="6">
        <f>'Data Sheet'!I45</f>
        <v>6005</v>
      </c>
      <c r="J8" s="6">
        <f>'Data Sheet'!J45</f>
        <v>5399</v>
      </c>
      <c r="K8" s="6">
        <f>'Data Sheet'!K45</f>
        <v>5295</v>
      </c>
    </row>
    <row r="9" spans="1:11" x14ac:dyDescent="0.35">
      <c r="A9" t="s">
        <v>11</v>
      </c>
      <c r="B9" s="6">
        <f>'Data Sheet'!B46</f>
        <v>2675.83</v>
      </c>
      <c r="C9" s="6">
        <f>'Data Sheet'!C46</f>
        <v>2641.67</v>
      </c>
      <c r="D9" s="6">
        <f>'Data Sheet'!D46</f>
        <v>2615</v>
      </c>
      <c r="E9" s="6">
        <f>'Data Sheet'!E46</f>
        <v>2652</v>
      </c>
      <c r="F9" s="6">
        <f>'Data Sheet'!F46</f>
        <v>2485</v>
      </c>
      <c r="G9" s="6">
        <f>'Data Sheet'!G46</f>
        <v>1645</v>
      </c>
      <c r="H9" s="6">
        <f>'Data Sheet'!H46</f>
        <v>2088</v>
      </c>
      <c r="I9" s="6">
        <f>'Data Sheet'!I46</f>
        <v>2034</v>
      </c>
      <c r="J9" s="6">
        <f>'Data Sheet'!J46</f>
        <v>1119</v>
      </c>
      <c r="K9" s="6">
        <f>'Data Sheet'!K46</f>
        <v>1076</v>
      </c>
    </row>
    <row r="10" spans="1:11" x14ac:dyDescent="0.35">
      <c r="A10" t="s">
        <v>12</v>
      </c>
      <c r="B10" s="6">
        <f>'Data Sheet'!B47</f>
        <v>3202.61</v>
      </c>
      <c r="C10" s="6">
        <f>'Data Sheet'!C47</f>
        <v>4875.3900000000003</v>
      </c>
      <c r="D10" s="6">
        <f>'Data Sheet'!D47</f>
        <v>4864</v>
      </c>
      <c r="E10" s="6">
        <f>'Data Sheet'!E47</f>
        <v>6035</v>
      </c>
      <c r="F10" s="6">
        <f>'Data Sheet'!F47</f>
        <v>7687</v>
      </c>
      <c r="G10" s="6">
        <f>'Data Sheet'!G47</f>
        <v>9309</v>
      </c>
      <c r="H10" s="6">
        <f>'Data Sheet'!H47</f>
        <v>8870</v>
      </c>
      <c r="I10" s="6">
        <f>'Data Sheet'!I47</f>
        <v>5767</v>
      </c>
      <c r="J10" s="6">
        <f>'Data Sheet'!J47</f>
        <v>7605</v>
      </c>
      <c r="K10" s="6">
        <f>'Data Sheet'!K47</f>
        <v>11504</v>
      </c>
    </row>
    <row r="11" spans="1:11" x14ac:dyDescent="0.35">
      <c r="A11" t="s">
        <v>13</v>
      </c>
      <c r="B11" s="6">
        <f>'Data Sheet'!B48</f>
        <v>262.83</v>
      </c>
      <c r="C11" s="6">
        <f>'Data Sheet'!C48</f>
        <v>-620.65</v>
      </c>
      <c r="D11" s="6">
        <f>'Data Sheet'!D48</f>
        <v>1563</v>
      </c>
      <c r="E11" s="6">
        <f>'Data Sheet'!E48</f>
        <v>2203</v>
      </c>
      <c r="F11" s="6">
        <f>'Data Sheet'!F48</f>
        <v>542</v>
      </c>
      <c r="G11" s="6">
        <f>'Data Sheet'!G48</f>
        <v>-8219</v>
      </c>
      <c r="H11" s="6">
        <f>'Data Sheet'!H48</f>
        <v>3178</v>
      </c>
      <c r="I11" s="6">
        <f>'Data Sheet'!I48</f>
        <v>2317</v>
      </c>
      <c r="J11" s="6">
        <f>'Data Sheet'!J48</f>
        <v>2120</v>
      </c>
      <c r="K11" s="6">
        <f>'Data Sheet'!K48</f>
        <v>2948</v>
      </c>
    </row>
    <row r="12" spans="1:11" s="2" customFormat="1" x14ac:dyDescent="0.35">
      <c r="A12" s="2" t="s">
        <v>14</v>
      </c>
      <c r="B12" s="1">
        <f>'Data Sheet'!B49</f>
        <v>2957.71</v>
      </c>
      <c r="C12" s="1">
        <f>'Data Sheet'!C49</f>
        <v>5407.79</v>
      </c>
      <c r="D12" s="1">
        <f>'Data Sheet'!D49</f>
        <v>3203</v>
      </c>
      <c r="E12" s="1">
        <f>'Data Sheet'!E49</f>
        <v>3764</v>
      </c>
      <c r="F12" s="1">
        <f>'Data Sheet'!F49</f>
        <v>7025</v>
      </c>
      <c r="G12" s="1">
        <f>'Data Sheet'!G49</f>
        <v>17407</v>
      </c>
      <c r="H12" s="1">
        <f>'Data Sheet'!H49</f>
        <v>5566</v>
      </c>
      <c r="I12" s="1">
        <f>'Data Sheet'!I49</f>
        <v>3343</v>
      </c>
      <c r="J12" s="1">
        <f>'Data Sheet'!J49</f>
        <v>5406</v>
      </c>
      <c r="K12" s="1">
        <f>'Data Sheet'!K49</f>
        <v>8470</v>
      </c>
    </row>
    <row r="14" spans="1:11" s="2" customFormat="1" x14ac:dyDescent="0.35">
      <c r="A14" s="2" t="s">
        <v>18</v>
      </c>
      <c r="B14" s="10">
        <f>IF(B4&gt;0,B6/B4,"")</f>
        <v>0.12227836379808968</v>
      </c>
      <c r="C14" s="10">
        <f t="shared" ref="C14:K14" si="0">IF(C4&gt;0,C6/C4,"")</f>
        <v>0.1237997646611257</v>
      </c>
      <c r="D14" s="10">
        <f t="shared" si="0"/>
        <v>0.12927931452717242</v>
      </c>
      <c r="E14" s="10">
        <f t="shared" si="0"/>
        <v>0.1309534001084382</v>
      </c>
      <c r="F14" s="10">
        <f t="shared" si="0"/>
        <v>0.13943225082973856</v>
      </c>
      <c r="G14" s="10">
        <f t="shared" si="0"/>
        <v>0.14017121302495947</v>
      </c>
      <c r="H14" s="10">
        <f t="shared" si="0"/>
        <v>0.14609247741744411</v>
      </c>
      <c r="I14" s="10">
        <f t="shared" si="0"/>
        <v>0.11985214391325777</v>
      </c>
      <c r="J14" s="10">
        <f t="shared" si="0"/>
        <v>0.11032075873827792</v>
      </c>
      <c r="K14" s="10">
        <f t="shared" si="0"/>
        <v>0.14073286863091303</v>
      </c>
    </row>
    <row r="22" s="19" customFormat="1" x14ac:dyDescent="0.35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L50"/>
  <sheetViews>
    <sheetView zoomScale="125" workbookViewId="0">
      <pane xSplit="1" ySplit="3" topLeftCell="B4" activePane="bottomRight" state="frozen"/>
      <selection activeCell="C4" sqref="C4"/>
      <selection pane="topRight" activeCell="C4" sqref="C4"/>
      <selection pane="bottomLeft" activeCell="C4" sqref="C4"/>
      <selection pane="bottomRight" activeCell="B5" sqref="B5"/>
    </sheetView>
  </sheetViews>
  <sheetFormatPr defaultColWidth="8.81640625" defaultRowHeight="14.5" x14ac:dyDescent="0.35"/>
  <cols>
    <col min="1" max="1" width="24.1796875" customWidth="1"/>
    <col min="2" max="2" width="13.453125" customWidth="1"/>
    <col min="3" max="11" width="15.453125" customWidth="1"/>
    <col min="12" max="12" width="10.90625" bestFit="1" customWidth="1"/>
  </cols>
  <sheetData>
    <row r="1" spans="1:12" s="2" customFormat="1" x14ac:dyDescent="0.35">
      <c r="A1" s="2" t="str">
        <f>'Profit &amp; Loss'!A1</f>
        <v>TATA MOTORS LTD</v>
      </c>
      <c r="E1" t="str">
        <f>UPDATE</f>
        <v/>
      </c>
      <c r="G1"/>
      <c r="J1" s="2" t="s">
        <v>1</v>
      </c>
    </row>
    <row r="2" spans="1:12" x14ac:dyDescent="0.35">
      <c r="G2" s="2"/>
      <c r="H2" s="2"/>
    </row>
    <row r="3" spans="1:12" x14ac:dyDescent="0.35">
      <c r="A3" s="11" t="s">
        <v>2</v>
      </c>
      <c r="B3" s="12">
        <f>'Data Sheet'!B56</f>
        <v>42460</v>
      </c>
      <c r="C3" s="12">
        <f>'Data Sheet'!C56</f>
        <v>42825</v>
      </c>
      <c r="D3" s="12">
        <f>'Data Sheet'!D56</f>
        <v>43190</v>
      </c>
      <c r="E3" s="12">
        <f>'Data Sheet'!E56</f>
        <v>43555</v>
      </c>
      <c r="F3" s="12">
        <f>'Data Sheet'!F56</f>
        <v>43921</v>
      </c>
      <c r="G3" s="12">
        <f>'Data Sheet'!G56</f>
        <v>44286</v>
      </c>
      <c r="H3" s="12">
        <f>'Data Sheet'!H56</f>
        <v>44651</v>
      </c>
      <c r="I3" s="12">
        <f>'Data Sheet'!I56</f>
        <v>45016</v>
      </c>
      <c r="J3" s="12">
        <f>'Data Sheet'!J56</f>
        <v>45382</v>
      </c>
      <c r="K3" s="12">
        <f>'Data Sheet'!K56</f>
        <v>45747</v>
      </c>
      <c r="L3" s="12">
        <v>45901</v>
      </c>
    </row>
    <row r="4" spans="1:12" x14ac:dyDescent="0.35">
      <c r="A4" t="s">
        <v>24</v>
      </c>
      <c r="B4" s="14">
        <f>'Data Sheet'!B57</f>
        <v>679.18</v>
      </c>
      <c r="C4" s="14">
        <f>'Data Sheet'!C57</f>
        <v>679.22</v>
      </c>
      <c r="D4" s="14">
        <f>'Data Sheet'!D57</f>
        <v>679.22</v>
      </c>
      <c r="E4" s="14">
        <f>'Data Sheet'!E57</f>
        <v>679.22</v>
      </c>
      <c r="F4" s="14">
        <f>'Data Sheet'!F57</f>
        <v>719.54</v>
      </c>
      <c r="G4" s="14">
        <f>'Data Sheet'!G57</f>
        <v>765.81</v>
      </c>
      <c r="H4" s="14">
        <f>'Data Sheet'!H57</f>
        <v>765.88</v>
      </c>
      <c r="I4" s="14">
        <f>'Data Sheet'!I57</f>
        <v>766.02</v>
      </c>
      <c r="J4" s="14">
        <f>'Data Sheet'!J57</f>
        <v>767</v>
      </c>
      <c r="K4" s="14">
        <f>'Data Sheet'!K57</f>
        <v>736</v>
      </c>
      <c r="L4">
        <v>736</v>
      </c>
    </row>
    <row r="5" spans="1:12" x14ac:dyDescent="0.35">
      <c r="A5" t="s">
        <v>25</v>
      </c>
      <c r="B5" s="14">
        <f>'Data Sheet'!B58</f>
        <v>78273.23</v>
      </c>
      <c r="C5" s="14">
        <f>'Data Sheet'!C58</f>
        <v>57382.67</v>
      </c>
      <c r="D5" s="14">
        <f>'Data Sheet'!D58</f>
        <v>94748.69</v>
      </c>
      <c r="E5" s="14">
        <f>'Data Sheet'!E58</f>
        <v>59500.34</v>
      </c>
      <c r="F5" s="14">
        <f>'Data Sheet'!F58</f>
        <v>62358.99</v>
      </c>
      <c r="G5" s="14">
        <f>'Data Sheet'!G58</f>
        <v>54480.91</v>
      </c>
      <c r="H5" s="14">
        <f>'Data Sheet'!H58</f>
        <v>43795.360000000001</v>
      </c>
      <c r="I5" s="14">
        <f>'Data Sheet'!I58</f>
        <v>44555.77</v>
      </c>
      <c r="J5" s="14">
        <f>'Data Sheet'!J58</f>
        <v>84151</v>
      </c>
      <c r="K5" s="14">
        <f>'Data Sheet'!K58</f>
        <v>115408</v>
      </c>
      <c r="L5" s="73">
        <v>9708</v>
      </c>
    </row>
    <row r="6" spans="1:12" x14ac:dyDescent="0.35">
      <c r="A6" t="s">
        <v>62</v>
      </c>
      <c r="B6" s="14">
        <f>'Data Sheet'!B59</f>
        <v>69359.960000000006</v>
      </c>
      <c r="C6" s="14">
        <f>'Data Sheet'!C59</f>
        <v>78603.98</v>
      </c>
      <c r="D6" s="14">
        <f>'Data Sheet'!D59</f>
        <v>88950.47</v>
      </c>
      <c r="E6" s="14">
        <f>'Data Sheet'!E59</f>
        <v>106175.34</v>
      </c>
      <c r="F6" s="14">
        <f>'Data Sheet'!F59</f>
        <v>124787.64</v>
      </c>
      <c r="G6" s="14">
        <f>'Data Sheet'!G59</f>
        <v>142130.57</v>
      </c>
      <c r="H6" s="14">
        <f>'Data Sheet'!H59</f>
        <v>146449.03</v>
      </c>
      <c r="I6" s="14">
        <f>'Data Sheet'!I59</f>
        <v>134113.44</v>
      </c>
      <c r="J6" s="14">
        <f>'Data Sheet'!J59</f>
        <v>107264</v>
      </c>
      <c r="K6" s="14">
        <f>'Data Sheet'!K59</f>
        <v>71540</v>
      </c>
      <c r="L6" s="73">
        <v>5983</v>
      </c>
    </row>
    <row r="7" spans="1:12" x14ac:dyDescent="0.35">
      <c r="A7" t="s">
        <v>63</v>
      </c>
      <c r="B7" s="14">
        <f>'Data Sheet'!B60</f>
        <v>114871.75</v>
      </c>
      <c r="C7" s="14">
        <f>'Data Sheet'!C60</f>
        <v>135914.49</v>
      </c>
      <c r="D7" s="14">
        <f>'Data Sheet'!D60</f>
        <v>142813.43</v>
      </c>
      <c r="E7" s="14">
        <f>'Data Sheet'!E60</f>
        <v>139348.59</v>
      </c>
      <c r="F7" s="14">
        <f>'Data Sheet'!F60</f>
        <v>132313.22</v>
      </c>
      <c r="G7" s="14">
        <f>'Data Sheet'!G60</f>
        <v>144192.62</v>
      </c>
      <c r="H7" s="14">
        <f>'Data Sheet'!H60</f>
        <v>138051.22</v>
      </c>
      <c r="I7" s="14">
        <f>'Data Sheet'!I60</f>
        <v>155239.20000000001</v>
      </c>
      <c r="J7" s="14">
        <f>'Data Sheet'!J60</f>
        <v>177339</v>
      </c>
      <c r="K7" s="14">
        <f>'Data Sheet'!K60</f>
        <v>189289</v>
      </c>
      <c r="L7" s="73">
        <v>22446</v>
      </c>
    </row>
    <row r="8" spans="1:12" s="2" customFormat="1" x14ac:dyDescent="0.35">
      <c r="A8" s="2" t="s">
        <v>26</v>
      </c>
      <c r="B8" s="15">
        <f>'Data Sheet'!B61</f>
        <v>263184.12</v>
      </c>
      <c r="C8" s="15">
        <f>'Data Sheet'!C61</f>
        <v>272580.36</v>
      </c>
      <c r="D8" s="15">
        <f>'Data Sheet'!D61</f>
        <v>327191.81</v>
      </c>
      <c r="E8" s="15">
        <f>'Data Sheet'!E61</f>
        <v>305703.49</v>
      </c>
      <c r="F8" s="15">
        <f>'Data Sheet'!F61</f>
        <v>320179.39</v>
      </c>
      <c r="G8" s="15">
        <f>'Data Sheet'!G61</f>
        <v>341569.91</v>
      </c>
      <c r="H8" s="15">
        <f>'Data Sheet'!H61</f>
        <v>329061.49</v>
      </c>
      <c r="I8" s="15">
        <f>'Data Sheet'!I61</f>
        <v>334674.43</v>
      </c>
      <c r="J8" s="15">
        <f>'Data Sheet'!J61</f>
        <v>369521</v>
      </c>
      <c r="K8" s="15">
        <f>'Data Sheet'!K61</f>
        <v>376973</v>
      </c>
      <c r="L8" s="77">
        <v>38873</v>
      </c>
    </row>
    <row r="9" spans="1:12" s="2" customFormat="1" x14ac:dyDescent="0.35">
      <c r="B9" s="15"/>
      <c r="C9" s="15"/>
      <c r="D9" s="15"/>
      <c r="E9" s="15"/>
      <c r="F9" s="15"/>
      <c r="G9" s="15"/>
      <c r="H9" s="15"/>
      <c r="I9" s="15"/>
      <c r="J9" s="15"/>
      <c r="K9" s="15"/>
      <c r="L9" s="42"/>
    </row>
    <row r="10" spans="1:12" x14ac:dyDescent="0.35">
      <c r="A10" t="s">
        <v>27</v>
      </c>
      <c r="B10" s="14">
        <f>'Data Sheet'!B62</f>
        <v>107231.76</v>
      </c>
      <c r="C10" s="14">
        <f>'Data Sheet'!C62</f>
        <v>95944.08</v>
      </c>
      <c r="D10" s="14">
        <f>'Data Sheet'!D62</f>
        <v>121413.86</v>
      </c>
      <c r="E10" s="14">
        <f>'Data Sheet'!E62</f>
        <v>111234.47</v>
      </c>
      <c r="F10" s="14">
        <f>'Data Sheet'!F62</f>
        <v>127107.14</v>
      </c>
      <c r="G10" s="14">
        <f>'Data Sheet'!G62</f>
        <v>138707.60999999999</v>
      </c>
      <c r="H10" s="14">
        <f>'Data Sheet'!H62</f>
        <v>138855.45000000001</v>
      </c>
      <c r="I10" s="14">
        <f>'Data Sheet'!I62</f>
        <v>132079.76</v>
      </c>
      <c r="J10" s="14">
        <f>'Data Sheet'!J62</f>
        <v>121285</v>
      </c>
      <c r="K10" s="14">
        <f>'Data Sheet'!K62</f>
        <v>115697</v>
      </c>
      <c r="L10" s="75">
        <v>13021</v>
      </c>
    </row>
    <row r="11" spans="1:12" x14ac:dyDescent="0.35">
      <c r="A11" t="s">
        <v>28</v>
      </c>
      <c r="B11" s="14">
        <f>'Data Sheet'!B63</f>
        <v>25918.94</v>
      </c>
      <c r="C11" s="14">
        <f>'Data Sheet'!C63</f>
        <v>33698.839999999997</v>
      </c>
      <c r="D11" s="14">
        <f>'Data Sheet'!D63</f>
        <v>40033.5</v>
      </c>
      <c r="E11" s="14">
        <f>'Data Sheet'!E63</f>
        <v>31883.84</v>
      </c>
      <c r="F11" s="14">
        <f>'Data Sheet'!F63</f>
        <v>35622.29</v>
      </c>
      <c r="G11" s="14">
        <f>'Data Sheet'!G63</f>
        <v>20963.93</v>
      </c>
      <c r="H11" s="14">
        <f>'Data Sheet'!H63</f>
        <v>10251.09</v>
      </c>
      <c r="I11" s="14">
        <f>'Data Sheet'!I63</f>
        <v>14274.5</v>
      </c>
      <c r="J11" s="14">
        <f>'Data Sheet'!J63</f>
        <v>35698</v>
      </c>
      <c r="K11" s="14">
        <f>'Data Sheet'!K63</f>
        <v>65806</v>
      </c>
      <c r="L11" s="76">
        <v>626</v>
      </c>
    </row>
    <row r="12" spans="1:12" x14ac:dyDescent="0.35">
      <c r="A12" t="s">
        <v>29</v>
      </c>
      <c r="B12" s="14">
        <f>'Data Sheet'!B64</f>
        <v>23767.02</v>
      </c>
      <c r="C12" s="14">
        <f>'Data Sheet'!C64</f>
        <v>20337.919999999998</v>
      </c>
      <c r="D12" s="14">
        <f>'Data Sheet'!D64</f>
        <v>20812.75</v>
      </c>
      <c r="E12" s="14">
        <f>'Data Sheet'!E64</f>
        <v>15770.72</v>
      </c>
      <c r="F12" s="14">
        <f>'Data Sheet'!F64</f>
        <v>16308.48</v>
      </c>
      <c r="G12" s="14">
        <f>'Data Sheet'!G64</f>
        <v>24620.28</v>
      </c>
      <c r="H12" s="14">
        <f>'Data Sheet'!H64</f>
        <v>29379.53</v>
      </c>
      <c r="I12" s="14">
        <f>'Data Sheet'!I64</f>
        <v>26379.16</v>
      </c>
      <c r="J12" s="14">
        <f>'Data Sheet'!J64</f>
        <v>22971</v>
      </c>
      <c r="K12" s="14">
        <f>'Data Sheet'!K64</f>
        <v>35656</v>
      </c>
      <c r="L12" s="75">
        <v>9590</v>
      </c>
    </row>
    <row r="13" spans="1:12" x14ac:dyDescent="0.35">
      <c r="A13" t="s">
        <v>64</v>
      </c>
      <c r="B13" s="14">
        <f>'Data Sheet'!B65</f>
        <v>106266.4</v>
      </c>
      <c r="C13" s="14">
        <f>'Data Sheet'!C65</f>
        <v>122599.52</v>
      </c>
      <c r="D13" s="14">
        <f>'Data Sheet'!D65</f>
        <v>144931.70000000001</v>
      </c>
      <c r="E13" s="14">
        <f>'Data Sheet'!E65</f>
        <v>146814.46</v>
      </c>
      <c r="F13" s="14">
        <f>'Data Sheet'!F65</f>
        <v>141141.48000000001</v>
      </c>
      <c r="G13" s="14">
        <f>'Data Sheet'!G65</f>
        <v>157278.09</v>
      </c>
      <c r="H13" s="14">
        <f>'Data Sheet'!H65</f>
        <v>150575.42000000001</v>
      </c>
      <c r="I13" s="14">
        <f>'Data Sheet'!I65</f>
        <v>161941.01</v>
      </c>
      <c r="J13" s="14">
        <f>'Data Sheet'!J65</f>
        <v>189567</v>
      </c>
      <c r="K13" s="14">
        <f>'Data Sheet'!K65</f>
        <v>159814</v>
      </c>
      <c r="L13" s="75">
        <v>15636</v>
      </c>
    </row>
    <row r="14" spans="1:12" s="2" customFormat="1" x14ac:dyDescent="0.35">
      <c r="A14" s="2" t="s">
        <v>26</v>
      </c>
      <c r="B14" s="15">
        <f>'Data Sheet'!B66</f>
        <v>263184.12</v>
      </c>
      <c r="C14" s="15">
        <f>'Data Sheet'!C66</f>
        <v>272580.36</v>
      </c>
      <c r="D14" s="15">
        <f>'Data Sheet'!D66</f>
        <v>327191.81</v>
      </c>
      <c r="E14" s="15">
        <f>'Data Sheet'!E66</f>
        <v>305703.49</v>
      </c>
      <c r="F14" s="15">
        <f>'Data Sheet'!F66</f>
        <v>320179.39</v>
      </c>
      <c r="G14" s="15">
        <f>'Data Sheet'!G66</f>
        <v>341569.91</v>
      </c>
      <c r="H14" s="15">
        <f>'Data Sheet'!H66</f>
        <v>329061.49</v>
      </c>
      <c r="I14" s="15">
        <f>'Data Sheet'!I66</f>
        <v>334674.43</v>
      </c>
      <c r="J14" s="15">
        <f>'Data Sheet'!J66</f>
        <v>369521</v>
      </c>
      <c r="K14" s="15">
        <f>'Data Sheet'!K66</f>
        <v>376973</v>
      </c>
      <c r="L14" s="77">
        <v>38873</v>
      </c>
    </row>
    <row r="15" spans="1:12" x14ac:dyDescent="0.35">
      <c r="B15" s="4"/>
      <c r="C15" s="4"/>
      <c r="D15" s="4"/>
      <c r="E15" s="4"/>
      <c r="F15" s="4"/>
      <c r="G15" s="4"/>
      <c r="H15" s="4"/>
      <c r="I15" s="4"/>
      <c r="J15" s="4"/>
      <c r="K15" s="4"/>
    </row>
    <row r="16" spans="1:12" x14ac:dyDescent="0.35">
      <c r="A16" t="s">
        <v>30</v>
      </c>
      <c r="B16" s="4">
        <f>B13-B7</f>
        <v>-8605.3500000000058</v>
      </c>
      <c r="C16" s="4">
        <f t="shared" ref="C16:K16" si="0">C13-C7</f>
        <v>-13314.969999999987</v>
      </c>
      <c r="D16" s="4">
        <f t="shared" si="0"/>
        <v>2118.2700000000186</v>
      </c>
      <c r="E16" s="4">
        <f t="shared" si="0"/>
        <v>7465.8699999999953</v>
      </c>
      <c r="F16" s="4">
        <f t="shared" si="0"/>
        <v>8828.2600000000093</v>
      </c>
      <c r="G16" s="4">
        <f t="shared" si="0"/>
        <v>13085.470000000001</v>
      </c>
      <c r="H16" s="4">
        <f t="shared" si="0"/>
        <v>12524.200000000012</v>
      </c>
      <c r="I16" s="4">
        <f t="shared" si="0"/>
        <v>6701.8099999999977</v>
      </c>
      <c r="J16" s="4">
        <f t="shared" si="0"/>
        <v>12228</v>
      </c>
      <c r="K16" s="4">
        <f t="shared" si="0"/>
        <v>-29475</v>
      </c>
    </row>
    <row r="17" spans="1:11" x14ac:dyDescent="0.35">
      <c r="A17" t="s">
        <v>44</v>
      </c>
      <c r="B17" s="4">
        <f>'Data Sheet'!B67</f>
        <v>13570.91</v>
      </c>
      <c r="C17" s="4">
        <f>'Data Sheet'!C67</f>
        <v>14075.55</v>
      </c>
      <c r="D17" s="4">
        <f>'Data Sheet'!D67</f>
        <v>19893.3</v>
      </c>
      <c r="E17" s="4">
        <f>'Data Sheet'!E67</f>
        <v>18996.169999999998</v>
      </c>
      <c r="F17" s="4">
        <f>'Data Sheet'!F67</f>
        <v>11172.69</v>
      </c>
      <c r="G17" s="4">
        <f>'Data Sheet'!G67</f>
        <v>12679.08</v>
      </c>
      <c r="H17" s="4">
        <f>'Data Sheet'!H67</f>
        <v>12442.12</v>
      </c>
      <c r="I17" s="4">
        <f>'Data Sheet'!I67</f>
        <v>15737.97</v>
      </c>
      <c r="J17" s="4">
        <f>'Data Sheet'!J67</f>
        <v>16952</v>
      </c>
      <c r="K17" s="4">
        <f>'Data Sheet'!K67</f>
        <v>13248</v>
      </c>
    </row>
    <row r="18" spans="1:11" x14ac:dyDescent="0.35">
      <c r="A18" t="s">
        <v>45</v>
      </c>
      <c r="B18" s="4">
        <f>'Data Sheet'!B68</f>
        <v>32655.73</v>
      </c>
      <c r="C18" s="4">
        <f>'Data Sheet'!C68</f>
        <v>35085.31</v>
      </c>
      <c r="D18" s="4">
        <f>'Data Sheet'!D68</f>
        <v>42137.63</v>
      </c>
      <c r="E18" s="4">
        <f>'Data Sheet'!E68</f>
        <v>39013.730000000003</v>
      </c>
      <c r="F18" s="4">
        <f>'Data Sheet'!F68</f>
        <v>37456.879999999997</v>
      </c>
      <c r="G18" s="4">
        <f>'Data Sheet'!G68</f>
        <v>36088.589999999997</v>
      </c>
      <c r="H18" s="4">
        <f>'Data Sheet'!H68</f>
        <v>35240.339999999997</v>
      </c>
      <c r="I18" s="4">
        <f>'Data Sheet'!I68</f>
        <v>40755.39</v>
      </c>
      <c r="J18" s="4">
        <f>'Data Sheet'!J68</f>
        <v>47788</v>
      </c>
      <c r="K18" s="4">
        <f>'Data Sheet'!K68</f>
        <v>47269</v>
      </c>
    </row>
    <row r="20" spans="1:11" x14ac:dyDescent="0.35">
      <c r="A20" t="s">
        <v>46</v>
      </c>
      <c r="B20" s="4">
        <f>IF('Profit &amp; Loss'!B4&gt;0,'Balance Sheet'!B17/('Profit &amp; Loss'!B4/365),0)</f>
        <v>18.141226776772818</v>
      </c>
      <c r="C20" s="4">
        <f>IF('Profit &amp; Loss'!C4&gt;0,'Balance Sheet'!C17/('Profit &amp; Loss'!C4/365),0)</f>
        <v>19.049753180019717</v>
      </c>
      <c r="D20" s="4">
        <f>IF('Profit &amp; Loss'!D4&gt;0,'Balance Sheet'!D17/('Profit &amp; Loss'!D4/365),0)</f>
        <v>24.904964999543132</v>
      </c>
      <c r="E20" s="4">
        <f>IF('Profit &amp; Loss'!E4&gt;0,'Balance Sheet'!E17/('Profit &amp; Loss'!E4/365),0)</f>
        <v>22.963631157878556</v>
      </c>
      <c r="F20" s="4">
        <f>IF('Profit &amp; Loss'!F4&gt;0,'Balance Sheet'!F17/('Profit &amp; Loss'!F4/365),0)</f>
        <v>15.62057517051977</v>
      </c>
      <c r="G20" s="4">
        <f>IF('Profit &amp; Loss'!G4&gt;0,'Balance Sheet'!G17/('Profit &amp; Loss'!G4/365),0)</f>
        <v>18.526667193766084</v>
      </c>
      <c r="H20" s="4">
        <f>IF('Profit &amp; Loss'!H4&gt;0,'Balance Sheet'!H17/('Profit &amp; Loss'!H4/365),0)</f>
        <v>16.309264717046958</v>
      </c>
      <c r="I20" s="4">
        <f>IF('Profit &amp; Loss'!I4&gt;0,'Balance Sheet'!I17/('Profit &amp; Loss'!I4/365),0)</f>
        <v>16.603778823163381</v>
      </c>
      <c r="J20" s="4">
        <f>IF('Profit &amp; Loss'!J4&gt;0,'Balance Sheet'!J17/('Profit &amp; Loss'!J4/365),0)</f>
        <v>14.256340780063409</v>
      </c>
      <c r="K20" s="4">
        <f>IF('Profit &amp; Loss'!K4&gt;0,'Balance Sheet'!K17/('Profit &amp; Loss'!K4/365),0)</f>
        <v>10.9974414082489</v>
      </c>
    </row>
    <row r="21" spans="1:11" x14ac:dyDescent="0.35">
      <c r="A21" t="s">
        <v>47</v>
      </c>
      <c r="B21" s="4">
        <f>IF('Balance Sheet'!B18&gt;0,'Profit &amp; Loss'!B4/'Balance Sheet'!B18,0)</f>
        <v>8.3613381173839922</v>
      </c>
      <c r="C21" s="4">
        <f>IF('Balance Sheet'!C18&gt;0,'Profit &amp; Loss'!C4/'Balance Sheet'!C18,0)</f>
        <v>7.6867643466738649</v>
      </c>
      <c r="D21" s="4">
        <f>IF('Balance Sheet'!D18&gt;0,'Profit &amp; Loss'!D4/'Balance Sheet'!D18,0)</f>
        <v>6.9190051742350009</v>
      </c>
      <c r="E21" s="4">
        <f>IF('Balance Sheet'!E18&gt;0,'Profit &amp; Loss'!E4/'Balance Sheet'!E18,0)</f>
        <v>7.7392856309817084</v>
      </c>
      <c r="F21" s="4">
        <f>IF('Balance Sheet'!F18&gt;0,'Profit &amp; Loss'!F4/'Balance Sheet'!F18,0)</f>
        <v>6.9698269049637886</v>
      </c>
      <c r="G21" s="4">
        <f>IF('Balance Sheet'!G18&gt;0,'Profit &amp; Loss'!G4/'Balance Sheet'!G18,0)</f>
        <v>6.9217098811563442</v>
      </c>
      <c r="H21" s="4">
        <f>IF('Balance Sheet'!H18&gt;0,'Profit &amp; Loss'!H4/'Balance Sheet'!H18,0)</f>
        <v>7.9015588385356104</v>
      </c>
      <c r="I21" s="4">
        <f>IF('Balance Sheet'!I18&gt;0,'Profit &amp; Loss'!I4/'Balance Sheet'!I18,0)</f>
        <v>8.4888641723217457</v>
      </c>
      <c r="J21" s="4">
        <f>IF('Balance Sheet'!J18&gt;0,'Profit &amp; Loss'!J4/'Balance Sheet'!J18,0)</f>
        <v>9.0821126642671803</v>
      </c>
      <c r="K21" s="4">
        <f>IF('Balance Sheet'!K18&gt;0,'Profit &amp; Loss'!K4/'Balance Sheet'!K18,0)</f>
        <v>9.3019738094734397</v>
      </c>
    </row>
    <row r="23" spans="1:11" s="2" customFormat="1" x14ac:dyDescent="0.35">
      <c r="A23" s="2" t="s">
        <v>50</v>
      </c>
      <c r="B23" s="10">
        <f>IF(SUM('Balance Sheet'!B4:B5)&gt;0,'Profit &amp; Loss'!B12/SUM('Balance Sheet'!B4:B5),"")</f>
        <v>0.14666189417143824</v>
      </c>
      <c r="C23" s="10">
        <f>IF(SUM('Balance Sheet'!C4:C5)&gt;0,'Profit &amp; Loss'!C12/SUM('Balance Sheet'!C4:C5),"")</f>
        <v>0.1283864510783235</v>
      </c>
      <c r="D23" s="10">
        <f>IF(SUM('Balance Sheet'!D4:D5)&gt;0,'Profit &amp; Loss'!D12/SUM('Balance Sheet'!D4:D5),"")</f>
        <v>9.4195817554843228E-2</v>
      </c>
      <c r="E23" s="10">
        <f>IF(SUM('Balance Sheet'!E4:E5)&gt;0,'Profit &amp; Loss'!E12/SUM('Balance Sheet'!E4:E5),"")</f>
        <v>-0.47900366835516911</v>
      </c>
      <c r="F23" s="10">
        <f>IF(SUM('Balance Sheet'!F4:F5)&gt;0,'Profit &amp; Loss'!F12/SUM('Balance Sheet'!F4:F5),"")</f>
        <v>-0.19136225907610721</v>
      </c>
      <c r="G23" s="10">
        <f>IF(SUM('Balance Sheet'!G4:G5)&gt;0,'Profit &amp; Loss'!G12/SUM('Balance Sheet'!G4:G5),"")</f>
        <v>-0.24347852687001145</v>
      </c>
      <c r="H23" s="10">
        <f>IF(SUM('Balance Sheet'!H4:H5)&gt;0,'Profit &amp; Loss'!H12/SUM('Balance Sheet'!H4:H5),"")</f>
        <v>-0.25675833975894746</v>
      </c>
      <c r="I23" s="10">
        <f>IF(SUM('Balance Sheet'!I4:I5)&gt;0,'Profit &amp; Loss'!I12/SUM('Balance Sheet'!I4:I5),"")</f>
        <v>5.326996131441411E-2</v>
      </c>
      <c r="J23" s="10">
        <f>IF(SUM('Balance Sheet'!J4:J5)&gt;0,'Profit &amp; Loss'!J12/SUM('Balance Sheet'!J4:J5),"")</f>
        <v>0.36975670646977082</v>
      </c>
      <c r="K23" s="10">
        <f>IF(SUM('Balance Sheet'!K4:K5)&gt;0,'Profit &amp; Loss'!K12/SUM('Balance Sheet'!K4:K5),"")</f>
        <v>0.23961633833861412</v>
      </c>
    </row>
    <row r="24" spans="1:11" s="2" customFormat="1" x14ac:dyDescent="0.35">
      <c r="A24" s="2" t="s">
        <v>51</v>
      </c>
      <c r="B24" s="10"/>
      <c r="C24" s="10">
        <f>IF((B4+B5+B6+C4+C5+C6)&gt;0,('Profit &amp; Loss'!C10+'Profit &amp; Loss'!C9)*2/(B4+B5+B6+C4+C5+C6),"")</f>
        <v>9.5114630506525702E-2</v>
      </c>
      <c r="D24" s="10">
        <f>IF((C4+C5+C6+D4+D5+D6)&gt;0,('Profit &amp; Loss'!D10+'Profit &amp; Loss'!D9)*2/(C4+C5+C6+D4+D5+D6),"")</f>
        <v>9.8658175625322669E-2</v>
      </c>
      <c r="E24" s="10">
        <f>IF((D4+D5+D6+E4+E5+E6)&gt;0,('Profit &amp; Loss'!E10+'Profit &amp; Loss'!E9)*2/(D4+D5+D6+E4+E5+E6),"")</f>
        <v>-0.14605143828951733</v>
      </c>
      <c r="F24" s="10">
        <f>IF((E4+E5+E6+F4+F5+F6)&gt;0,('Profit &amp; Loss'!F10+'Profit &amp; Loss'!F9)*2/(E4+E5+E6+F4+F5+F6),"")</f>
        <v>-1.8839364919766063E-2</v>
      </c>
      <c r="G24" s="10">
        <f>IF((F4+F5+F6+G4+G5+G6)&gt;0,('Profit &amp; Loss'!G10+'Profit &amp; Loss'!G9)*2/(F4+F5+F6+G4+G5+G6),"")</f>
        <v>-1.2340819491134259E-2</v>
      </c>
      <c r="H24" s="10">
        <f>IF((G4+G5+G6+H4+H5+H6)&gt;0,('Profit &amp; Loss'!H10+'Profit &amp; Loss'!H9)*2/(G4+G5+G6+H4+H5+H6),"")</f>
        <v>1.1887352931695343E-2</v>
      </c>
      <c r="I24" s="10">
        <f>IF((H4+H5+H6+I4+I5+I6)&gt;0,('Profit &amp; Loss'!I10+'Profit &amp; Loss'!I9)*2/(H4+H5+H6+I4+I5+I6),"")</f>
        <v>7.3529898460097373E-2</v>
      </c>
      <c r="J24" s="10">
        <f>IF((I4+I5+I6+J4+J5+J6)&gt;0,('Profit &amp; Loss'!J10+'Profit &amp; Loss'!J9)*2/(I4+I5+I6+J4+J5+J6),"")</f>
        <v>0.19039483180045233</v>
      </c>
      <c r="K24" s="10">
        <f>IF((J4+J5+J6+K4+K5+K6)&gt;0,('Profit &amp; Loss'!K10+'Profit &amp; Loss'!K9)*2/(J4+J5+J6+K4+K5+K6),"")</f>
        <v>0.23026014436669773</v>
      </c>
    </row>
    <row r="29" spans="1:11" x14ac:dyDescent="0.35">
      <c r="A29" s="21"/>
      <c r="C29" s="74">
        <v>46290</v>
      </c>
    </row>
    <row r="30" spans="1:11" x14ac:dyDescent="0.35">
      <c r="A30" t="s">
        <v>189</v>
      </c>
      <c r="B30">
        <v>0.1</v>
      </c>
      <c r="C30">
        <v>736</v>
      </c>
    </row>
    <row r="31" spans="1:11" x14ac:dyDescent="0.35">
      <c r="A31" t="s">
        <v>25</v>
      </c>
      <c r="B31">
        <v>-0.08</v>
      </c>
      <c r="C31" s="73">
        <v>9708</v>
      </c>
    </row>
    <row r="32" spans="1:11" x14ac:dyDescent="0.35">
      <c r="A32" t="s">
        <v>190</v>
      </c>
      <c r="B32">
        <v>0</v>
      </c>
      <c r="C32" s="73">
        <v>5983</v>
      </c>
    </row>
    <row r="33" spans="1:3" x14ac:dyDescent="0.35">
      <c r="A33" t="s">
        <v>191</v>
      </c>
      <c r="B33">
        <v>0</v>
      </c>
      <c r="C33" s="42">
        <v>1881</v>
      </c>
    </row>
    <row r="34" spans="1:3" x14ac:dyDescent="0.35">
      <c r="A34" t="s">
        <v>192</v>
      </c>
      <c r="B34">
        <v>0</v>
      </c>
      <c r="C34" s="42">
        <v>3741</v>
      </c>
    </row>
    <row r="35" spans="1:3" x14ac:dyDescent="0.35">
      <c r="A35" t="s">
        <v>193</v>
      </c>
      <c r="B35">
        <v>0</v>
      </c>
      <c r="C35">
        <v>361</v>
      </c>
    </row>
    <row r="36" spans="1:3" x14ac:dyDescent="0.35">
      <c r="A36" t="s">
        <v>194</v>
      </c>
      <c r="B36">
        <v>0.08</v>
      </c>
      <c r="C36" s="73">
        <v>22446</v>
      </c>
    </row>
    <row r="37" spans="1:3" x14ac:dyDescent="0.35">
      <c r="A37" t="s">
        <v>195</v>
      </c>
      <c r="B37">
        <v>0</v>
      </c>
      <c r="C37" s="42">
        <v>13260</v>
      </c>
    </row>
    <row r="38" spans="1:3" x14ac:dyDescent="0.35">
      <c r="A38" t="s">
        <v>196</v>
      </c>
      <c r="B38">
        <v>0</v>
      </c>
      <c r="C38" s="42">
        <v>9186</v>
      </c>
    </row>
    <row r="39" spans="1:3" x14ac:dyDescent="0.35">
      <c r="A39" t="s">
        <v>106</v>
      </c>
      <c r="B39">
        <v>0.1</v>
      </c>
      <c r="C39" s="73">
        <v>38873</v>
      </c>
    </row>
    <row r="40" spans="1:3" x14ac:dyDescent="0.35">
      <c r="A40" t="s">
        <v>197</v>
      </c>
      <c r="B40">
        <v>0</v>
      </c>
      <c r="C40" s="73">
        <v>13021</v>
      </c>
    </row>
    <row r="41" spans="1:3" x14ac:dyDescent="0.35">
      <c r="A41" t="s">
        <v>198</v>
      </c>
      <c r="B41">
        <v>0</v>
      </c>
      <c r="C41" s="42">
        <v>3221</v>
      </c>
    </row>
    <row r="42" spans="1:3" x14ac:dyDescent="0.35">
      <c r="A42" t="s">
        <v>199</v>
      </c>
      <c r="B42">
        <v>0</v>
      </c>
      <c r="C42">
        <v>626</v>
      </c>
    </row>
    <row r="43" spans="1:3" x14ac:dyDescent="0.35">
      <c r="A43" t="s">
        <v>29</v>
      </c>
      <c r="B43">
        <v>0</v>
      </c>
      <c r="C43" s="73">
        <v>9590</v>
      </c>
    </row>
    <row r="44" spans="1:3" x14ac:dyDescent="0.35">
      <c r="A44" t="s">
        <v>200</v>
      </c>
      <c r="B44">
        <v>0.1</v>
      </c>
      <c r="C44" s="73">
        <v>15636</v>
      </c>
    </row>
    <row r="45" spans="1:3" x14ac:dyDescent="0.35">
      <c r="A45" t="s">
        <v>201</v>
      </c>
      <c r="B45">
        <v>0</v>
      </c>
      <c r="C45" s="42">
        <v>4199</v>
      </c>
    </row>
    <row r="46" spans="1:3" x14ac:dyDescent="0.35">
      <c r="A46" t="s">
        <v>202</v>
      </c>
      <c r="B46">
        <v>0</v>
      </c>
      <c r="C46" s="42">
        <v>2804</v>
      </c>
    </row>
    <row r="47" spans="1:3" x14ac:dyDescent="0.35">
      <c r="A47" t="s">
        <v>203</v>
      </c>
      <c r="B47">
        <v>0</v>
      </c>
      <c r="C47">
        <v>660</v>
      </c>
    </row>
    <row r="48" spans="1:3" x14ac:dyDescent="0.35">
      <c r="A48" t="s">
        <v>204</v>
      </c>
      <c r="B48">
        <v>0</v>
      </c>
      <c r="C48" s="42">
        <v>5048</v>
      </c>
    </row>
    <row r="49" spans="1:3" x14ac:dyDescent="0.35">
      <c r="A49" t="s">
        <v>205</v>
      </c>
      <c r="B49">
        <v>0</v>
      </c>
      <c r="C49" s="42">
        <v>2925</v>
      </c>
    </row>
    <row r="50" spans="1:3" x14ac:dyDescent="0.35">
      <c r="A50" t="s">
        <v>112</v>
      </c>
      <c r="B50">
        <v>0.1</v>
      </c>
      <c r="C50" s="73">
        <v>38873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CE0B9-CAD2-4E51-8CD5-4B979D5F220B}">
  <dimension ref="A1:M32"/>
  <sheetViews>
    <sheetView topLeftCell="A13" workbookViewId="0">
      <selection activeCell="I15" sqref="I15"/>
    </sheetView>
  </sheetViews>
  <sheetFormatPr defaultRowHeight="14.5" x14ac:dyDescent="0.35"/>
  <cols>
    <col min="1" max="1" width="28" bestFit="1" customWidth="1"/>
  </cols>
  <sheetData>
    <row r="1" spans="1:13" x14ac:dyDescent="0.35">
      <c r="B1" s="21">
        <v>41699</v>
      </c>
      <c r="C1" s="21">
        <v>42064</v>
      </c>
      <c r="D1" s="21">
        <v>42430</v>
      </c>
      <c r="E1" s="21">
        <v>42795</v>
      </c>
      <c r="F1" s="21">
        <v>43160</v>
      </c>
      <c r="G1" s="21">
        <v>43525</v>
      </c>
      <c r="H1" s="21">
        <v>43891</v>
      </c>
      <c r="I1" s="21">
        <v>44256</v>
      </c>
      <c r="J1" s="21">
        <v>44621</v>
      </c>
      <c r="K1" s="21">
        <v>44986</v>
      </c>
      <c r="L1" s="21">
        <v>45352</v>
      </c>
      <c r="M1" s="21">
        <v>45717</v>
      </c>
    </row>
    <row r="2" spans="1:13" x14ac:dyDescent="0.35">
      <c r="A2" t="s">
        <v>148</v>
      </c>
      <c r="B2" s="42">
        <v>36151</v>
      </c>
      <c r="C2" s="42">
        <v>35531</v>
      </c>
      <c r="D2" s="42">
        <v>37900</v>
      </c>
      <c r="E2" s="42">
        <v>30199</v>
      </c>
      <c r="F2" s="42">
        <v>23857</v>
      </c>
      <c r="G2" s="42">
        <v>18891</v>
      </c>
      <c r="H2" s="42">
        <v>26633</v>
      </c>
      <c r="I2" s="42">
        <v>29001</v>
      </c>
      <c r="J2" s="42">
        <v>14283</v>
      </c>
      <c r="K2" s="42">
        <v>35388</v>
      </c>
      <c r="L2" s="42">
        <v>67915</v>
      </c>
      <c r="M2" s="42">
        <v>63102</v>
      </c>
    </row>
    <row r="3" spans="1:13" x14ac:dyDescent="0.35">
      <c r="A3" t="s">
        <v>116</v>
      </c>
      <c r="B3" s="42">
        <v>36303</v>
      </c>
      <c r="C3" s="42">
        <v>43397</v>
      </c>
      <c r="D3" s="42">
        <v>38626</v>
      </c>
      <c r="E3" s="42">
        <v>28840</v>
      </c>
      <c r="F3" s="42">
        <v>33312</v>
      </c>
      <c r="G3" s="42">
        <v>28771</v>
      </c>
      <c r="H3" s="42">
        <v>23352</v>
      </c>
      <c r="I3" s="42">
        <v>31198</v>
      </c>
      <c r="J3" s="42">
        <v>26943</v>
      </c>
      <c r="K3" s="42">
        <v>41694</v>
      </c>
      <c r="L3" s="42">
        <v>65106</v>
      </c>
      <c r="M3" s="42">
        <v>58937</v>
      </c>
    </row>
    <row r="4" spans="1:13" x14ac:dyDescent="0.35">
      <c r="A4" t="s">
        <v>69</v>
      </c>
      <c r="B4">
        <v>445</v>
      </c>
      <c r="C4" s="42">
        <v>-3179</v>
      </c>
      <c r="D4" s="42">
        <v>-2223</v>
      </c>
      <c r="E4" s="42">
        <v>-4152</v>
      </c>
      <c r="F4" s="42">
        <v>-10688</v>
      </c>
      <c r="G4" s="42">
        <v>-9109</v>
      </c>
      <c r="H4" s="42">
        <v>9950</v>
      </c>
      <c r="I4" s="42">
        <v>-5505</v>
      </c>
      <c r="J4">
        <v>185</v>
      </c>
      <c r="K4" s="42">
        <v>-2213</v>
      </c>
      <c r="L4" s="42">
        <v>-1876</v>
      </c>
      <c r="M4" s="42">
        <v>3573</v>
      </c>
    </row>
    <row r="5" spans="1:13" x14ac:dyDescent="0.35">
      <c r="A5" t="s">
        <v>45</v>
      </c>
      <c r="B5" s="42">
        <v>-2853</v>
      </c>
      <c r="C5" s="42">
        <v>-3692</v>
      </c>
      <c r="D5" s="42">
        <v>-5743</v>
      </c>
      <c r="E5" s="42">
        <v>-6621</v>
      </c>
      <c r="F5" s="42">
        <v>-3560</v>
      </c>
      <c r="G5" s="42">
        <v>2069</v>
      </c>
      <c r="H5" s="42">
        <v>2326</v>
      </c>
      <c r="I5" s="42">
        <v>3814</v>
      </c>
      <c r="J5">
        <v>472</v>
      </c>
      <c r="K5" s="42">
        <v>-5665</v>
      </c>
      <c r="L5" s="42">
        <v>-7265</v>
      </c>
      <c r="M5" s="42">
        <v>2127</v>
      </c>
    </row>
    <row r="6" spans="1:13" x14ac:dyDescent="0.35">
      <c r="A6" t="s">
        <v>117</v>
      </c>
      <c r="B6" s="42">
        <v>4694</v>
      </c>
      <c r="C6" s="42">
        <v>3598</v>
      </c>
      <c r="D6" s="42">
        <v>3947</v>
      </c>
      <c r="E6" s="42">
        <v>9301</v>
      </c>
      <c r="F6" s="42">
        <v>7320</v>
      </c>
      <c r="G6" s="42">
        <v>-4692</v>
      </c>
      <c r="H6" s="42">
        <v>-8085</v>
      </c>
      <c r="I6" s="42">
        <v>5748</v>
      </c>
      <c r="J6" s="42">
        <v>-7012</v>
      </c>
      <c r="K6" s="42">
        <v>6945</v>
      </c>
      <c r="L6" s="42">
        <v>13706</v>
      </c>
      <c r="M6" s="42">
        <v>1303</v>
      </c>
    </row>
    <row r="7" spans="1:13" x14ac:dyDescent="0.35">
      <c r="A7" t="s">
        <v>118</v>
      </c>
      <c r="B7">
        <v>0</v>
      </c>
      <c r="C7">
        <v>0</v>
      </c>
      <c r="D7">
        <v>-520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 t="s">
        <v>119</v>
      </c>
      <c r="B8" s="42">
        <v>1870</v>
      </c>
      <c r="C8">
        <v>-398</v>
      </c>
      <c r="D8" s="42">
        <v>5852</v>
      </c>
      <c r="E8" s="42">
        <v>4727</v>
      </c>
      <c r="F8">
        <v>494</v>
      </c>
      <c r="G8" s="42">
        <v>4512</v>
      </c>
      <c r="H8">
        <v>875</v>
      </c>
      <c r="I8" s="42">
        <v>-4150</v>
      </c>
      <c r="J8" s="42">
        <v>-4396</v>
      </c>
      <c r="K8" s="42">
        <v>-2194</v>
      </c>
      <c r="L8" s="42">
        <v>2760</v>
      </c>
      <c r="M8" s="42">
        <v>1153</v>
      </c>
    </row>
    <row r="9" spans="1:13" x14ac:dyDescent="0.35">
      <c r="A9" t="s">
        <v>120</v>
      </c>
      <c r="B9" s="42">
        <v>4157</v>
      </c>
      <c r="C9" s="42">
        <v>-3672</v>
      </c>
      <c r="D9" s="42">
        <v>1313</v>
      </c>
      <c r="E9" s="42">
        <v>3254</v>
      </c>
      <c r="F9" s="42">
        <v>-6434</v>
      </c>
      <c r="G9" s="42">
        <v>-7221</v>
      </c>
      <c r="H9" s="42">
        <v>5065</v>
      </c>
      <c r="I9">
        <v>-93</v>
      </c>
      <c r="J9" s="42">
        <v>-10750</v>
      </c>
      <c r="K9" s="42">
        <v>-3127</v>
      </c>
      <c r="L9" s="42">
        <v>7325</v>
      </c>
      <c r="M9" s="42">
        <v>8156</v>
      </c>
    </row>
    <row r="10" spans="1:13" x14ac:dyDescent="0.35">
      <c r="A10" t="s">
        <v>121</v>
      </c>
      <c r="B10" s="42">
        <v>-4308</v>
      </c>
      <c r="C10" s="42">
        <v>-4194</v>
      </c>
      <c r="D10" s="42">
        <v>-2040</v>
      </c>
      <c r="E10" s="42">
        <v>-1895</v>
      </c>
      <c r="F10" s="42">
        <v>-3021</v>
      </c>
      <c r="G10" s="42">
        <v>-2659</v>
      </c>
      <c r="H10" s="42">
        <v>-1785</v>
      </c>
      <c r="I10" s="42">
        <v>-2105</v>
      </c>
      <c r="J10" s="42">
        <v>-1910</v>
      </c>
      <c r="K10" s="42">
        <v>-3179</v>
      </c>
      <c r="L10" s="42">
        <v>-4516</v>
      </c>
      <c r="M10" s="42">
        <v>-3991</v>
      </c>
    </row>
    <row r="11" spans="1:13" x14ac:dyDescent="0.35">
      <c r="A11" t="s">
        <v>149</v>
      </c>
      <c r="B11" s="42">
        <v>-27991</v>
      </c>
      <c r="C11" s="42">
        <v>-36232</v>
      </c>
      <c r="D11" s="42">
        <v>-36694</v>
      </c>
      <c r="E11" s="42">
        <v>-39571</v>
      </c>
      <c r="F11" s="42">
        <v>-25139</v>
      </c>
      <c r="G11" s="42">
        <v>-20878</v>
      </c>
      <c r="H11" s="42">
        <v>-33115</v>
      </c>
      <c r="I11" s="42">
        <v>-25672</v>
      </c>
      <c r="J11" s="42">
        <v>-4444</v>
      </c>
      <c r="K11" s="42">
        <v>-15417</v>
      </c>
      <c r="L11" s="42">
        <v>-22781</v>
      </c>
      <c r="M11" s="42">
        <v>-49982</v>
      </c>
    </row>
    <row r="12" spans="1:13" x14ac:dyDescent="0.35">
      <c r="A12" t="s">
        <v>124</v>
      </c>
      <c r="B12" s="42">
        <v>-26975</v>
      </c>
      <c r="C12" s="42">
        <v>-31962</v>
      </c>
      <c r="D12" s="42">
        <v>-31503</v>
      </c>
      <c r="E12" s="42">
        <v>-16072</v>
      </c>
      <c r="F12" s="42">
        <v>-35079</v>
      </c>
      <c r="G12" s="42">
        <v>-35304</v>
      </c>
      <c r="H12" s="42">
        <v>-29702</v>
      </c>
      <c r="I12" s="42">
        <v>-20205</v>
      </c>
      <c r="J12" s="42">
        <v>-15168</v>
      </c>
      <c r="K12" s="42">
        <v>-19230</v>
      </c>
      <c r="L12" s="42">
        <v>-31414</v>
      </c>
      <c r="M12" s="42">
        <v>-38042</v>
      </c>
    </row>
    <row r="13" spans="1:13" x14ac:dyDescent="0.35">
      <c r="A13" t="s">
        <v>125</v>
      </c>
      <c r="B13">
        <v>50</v>
      </c>
      <c r="C13">
        <v>74</v>
      </c>
      <c r="D13">
        <v>59</v>
      </c>
      <c r="E13">
        <v>53</v>
      </c>
      <c r="F13">
        <v>30</v>
      </c>
      <c r="G13">
        <v>67</v>
      </c>
      <c r="H13">
        <v>171</v>
      </c>
      <c r="I13">
        <v>351</v>
      </c>
      <c r="J13">
        <v>230</v>
      </c>
      <c r="K13">
        <v>285</v>
      </c>
      <c r="L13">
        <v>231</v>
      </c>
      <c r="M13">
        <v>974</v>
      </c>
    </row>
    <row r="14" spans="1:13" x14ac:dyDescent="0.35">
      <c r="A14" t="s">
        <v>126</v>
      </c>
      <c r="B14">
        <v>-429</v>
      </c>
      <c r="C14" s="42">
        <v>-5461</v>
      </c>
      <c r="D14" s="42">
        <v>-4728</v>
      </c>
      <c r="E14">
        <v>-6</v>
      </c>
      <c r="F14">
        <v>-329</v>
      </c>
      <c r="G14">
        <v>-130</v>
      </c>
      <c r="H14" s="42">
        <v>-1439</v>
      </c>
      <c r="I14" s="42">
        <v>-7530</v>
      </c>
      <c r="J14" s="42">
        <v>-3008</v>
      </c>
      <c r="K14">
        <v>-50</v>
      </c>
      <c r="L14">
        <v>-74</v>
      </c>
      <c r="M14" s="42">
        <v>-12677</v>
      </c>
    </row>
    <row r="15" spans="1:13" x14ac:dyDescent="0.35">
      <c r="A15" t="s">
        <v>127</v>
      </c>
      <c r="B15">
        <v>4</v>
      </c>
      <c r="C15">
        <v>42</v>
      </c>
      <c r="D15">
        <v>89</v>
      </c>
      <c r="E15" s="42">
        <v>1965</v>
      </c>
      <c r="F15" s="42">
        <v>2381</v>
      </c>
      <c r="G15" s="42">
        <v>5644</v>
      </c>
      <c r="H15">
        <v>21</v>
      </c>
      <c r="I15">
        <v>226</v>
      </c>
      <c r="J15">
        <v>104</v>
      </c>
      <c r="K15" s="42">
        <v>6895</v>
      </c>
      <c r="L15" s="42">
        <v>10821</v>
      </c>
      <c r="M15">
        <v>111</v>
      </c>
    </row>
    <row r="16" spans="1:13" x14ac:dyDescent="0.35">
      <c r="A16" t="s">
        <v>128</v>
      </c>
      <c r="B16">
        <v>653</v>
      </c>
      <c r="C16">
        <v>698</v>
      </c>
      <c r="D16">
        <v>731</v>
      </c>
      <c r="E16">
        <v>638</v>
      </c>
      <c r="F16">
        <v>690</v>
      </c>
      <c r="G16">
        <v>761</v>
      </c>
      <c r="H16" s="42">
        <v>1104</v>
      </c>
      <c r="I16">
        <v>428</v>
      </c>
      <c r="J16">
        <v>653</v>
      </c>
      <c r="K16">
        <v>973</v>
      </c>
      <c r="L16" s="42">
        <v>2493</v>
      </c>
      <c r="M16" s="42">
        <v>2420</v>
      </c>
    </row>
    <row r="17" spans="1:13" x14ac:dyDescent="0.35">
      <c r="A17" t="s">
        <v>129</v>
      </c>
      <c r="B17">
        <v>40</v>
      </c>
      <c r="C17">
        <v>80</v>
      </c>
      <c r="D17">
        <v>58</v>
      </c>
      <c r="E17">
        <v>620</v>
      </c>
      <c r="F17" s="42">
        <v>1797</v>
      </c>
      <c r="G17">
        <v>232</v>
      </c>
      <c r="H17">
        <v>21</v>
      </c>
      <c r="I17">
        <v>18</v>
      </c>
      <c r="J17">
        <v>32</v>
      </c>
      <c r="K17">
        <v>46</v>
      </c>
      <c r="L17">
        <v>47</v>
      </c>
      <c r="M17">
        <v>64</v>
      </c>
    </row>
    <row r="18" spans="1:13" x14ac:dyDescent="0.35">
      <c r="A18" t="s">
        <v>131</v>
      </c>
      <c r="B18">
        <v>0</v>
      </c>
      <c r="C18">
        <v>-160</v>
      </c>
      <c r="D18">
        <v>0</v>
      </c>
      <c r="E18">
        <v>-107</v>
      </c>
      <c r="F18">
        <v>-4</v>
      </c>
      <c r="G18">
        <v>-9</v>
      </c>
      <c r="H18">
        <v>-606</v>
      </c>
      <c r="I18">
        <v>-10</v>
      </c>
      <c r="J18">
        <v>0</v>
      </c>
      <c r="K18">
        <v>0</v>
      </c>
      <c r="L18">
        <v>-150</v>
      </c>
      <c r="M18">
        <v>0</v>
      </c>
    </row>
    <row r="19" spans="1:13" x14ac:dyDescent="0.35">
      <c r="A19" t="s">
        <v>132</v>
      </c>
      <c r="B19">
        <v>0</v>
      </c>
      <c r="C19">
        <v>0</v>
      </c>
      <c r="D19">
        <v>0</v>
      </c>
      <c r="E19">
        <v>0</v>
      </c>
      <c r="F19">
        <v>14</v>
      </c>
      <c r="G19">
        <v>533</v>
      </c>
      <c r="H19">
        <v>0</v>
      </c>
      <c r="I19">
        <v>0</v>
      </c>
      <c r="J19">
        <v>0</v>
      </c>
      <c r="K19">
        <v>19</v>
      </c>
      <c r="L19">
        <v>107</v>
      </c>
      <c r="M19">
        <v>765</v>
      </c>
    </row>
    <row r="20" spans="1:13" x14ac:dyDescent="0.35">
      <c r="A20" t="s">
        <v>133</v>
      </c>
      <c r="B20">
        <v>-185</v>
      </c>
      <c r="C20">
        <v>0</v>
      </c>
      <c r="D20">
        <v>-111</v>
      </c>
      <c r="E20">
        <v>0</v>
      </c>
      <c r="F20">
        <v>0</v>
      </c>
      <c r="G20">
        <v>-8</v>
      </c>
      <c r="H20">
        <v>-27</v>
      </c>
      <c r="I20">
        <v>0</v>
      </c>
      <c r="J20">
        <v>-98</v>
      </c>
      <c r="K20">
        <v>0</v>
      </c>
      <c r="L20">
        <v>0</v>
      </c>
      <c r="M20">
        <v>-688</v>
      </c>
    </row>
    <row r="21" spans="1:13" x14ac:dyDescent="0.35">
      <c r="A21" t="s">
        <v>134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-25</v>
      </c>
      <c r="M21">
        <v>-20</v>
      </c>
    </row>
    <row r="22" spans="1:13" x14ac:dyDescent="0.35">
      <c r="A22" t="s">
        <v>135</v>
      </c>
      <c r="B22" s="42">
        <v>-1149</v>
      </c>
      <c r="C22">
        <v>456</v>
      </c>
      <c r="D22" s="42">
        <v>-1289</v>
      </c>
      <c r="E22" s="42">
        <v>-26663</v>
      </c>
      <c r="F22" s="42">
        <v>5360</v>
      </c>
      <c r="G22" s="42">
        <v>7335</v>
      </c>
      <c r="H22" s="42">
        <v>-2659</v>
      </c>
      <c r="I22" s="42">
        <v>1051</v>
      </c>
      <c r="J22" s="42">
        <v>12813</v>
      </c>
      <c r="K22" s="42">
        <v>-4357</v>
      </c>
      <c r="L22" s="42">
        <v>-4817</v>
      </c>
      <c r="M22" s="42">
        <v>-2889</v>
      </c>
    </row>
    <row r="23" spans="1:13" x14ac:dyDescent="0.35">
      <c r="A23" t="s">
        <v>150</v>
      </c>
      <c r="B23" s="42">
        <v>-3883</v>
      </c>
      <c r="C23" s="42">
        <v>5201</v>
      </c>
      <c r="D23" s="42">
        <v>-3795</v>
      </c>
      <c r="E23" s="42">
        <v>6205</v>
      </c>
      <c r="F23" s="42">
        <v>2012</v>
      </c>
      <c r="G23" s="42">
        <v>8830</v>
      </c>
      <c r="H23" s="42">
        <v>3390</v>
      </c>
      <c r="I23" s="42">
        <v>9904</v>
      </c>
      <c r="J23" s="42">
        <v>-3380</v>
      </c>
      <c r="K23" s="42">
        <v>-26243</v>
      </c>
      <c r="L23" s="42">
        <v>-37006</v>
      </c>
      <c r="M23" s="42">
        <v>-18786</v>
      </c>
    </row>
    <row r="24" spans="1:13" x14ac:dyDescent="0.35">
      <c r="A24" t="s">
        <v>138</v>
      </c>
      <c r="B24">
        <v>0</v>
      </c>
      <c r="C24">
        <v>0</v>
      </c>
      <c r="D24" s="42">
        <v>7433</v>
      </c>
      <c r="E24">
        <v>5</v>
      </c>
      <c r="F24">
        <v>0</v>
      </c>
      <c r="G24">
        <v>0</v>
      </c>
      <c r="H24" s="42">
        <v>3889</v>
      </c>
      <c r="I24" s="42">
        <v>2603</v>
      </c>
      <c r="J24">
        <v>19</v>
      </c>
      <c r="K24">
        <v>20</v>
      </c>
      <c r="L24">
        <v>82</v>
      </c>
      <c r="M24" s="42">
        <v>1108</v>
      </c>
    </row>
    <row r="25" spans="1:13" x14ac:dyDescent="0.35">
      <c r="A25" t="s">
        <v>139</v>
      </c>
      <c r="B25">
        <v>-658</v>
      </c>
      <c r="C25">
        <v>-744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5">
      <c r="A26" t="s">
        <v>140</v>
      </c>
      <c r="B26" s="42">
        <v>33258</v>
      </c>
      <c r="C26" s="42">
        <v>36363</v>
      </c>
      <c r="D26" s="42">
        <v>19519</v>
      </c>
      <c r="E26" s="42">
        <v>33390</v>
      </c>
      <c r="F26" s="42">
        <v>37482</v>
      </c>
      <c r="G26" s="42">
        <v>51128</v>
      </c>
      <c r="H26" s="42">
        <v>38297</v>
      </c>
      <c r="I26" s="42">
        <v>46641</v>
      </c>
      <c r="J26" s="42">
        <v>46578</v>
      </c>
      <c r="K26" s="42">
        <v>43934</v>
      </c>
      <c r="L26" s="42">
        <v>18829</v>
      </c>
      <c r="M26" s="42">
        <v>13384</v>
      </c>
    </row>
    <row r="27" spans="1:13" x14ac:dyDescent="0.35">
      <c r="A27" t="s">
        <v>141</v>
      </c>
      <c r="B27" s="42">
        <v>-29141</v>
      </c>
      <c r="C27" s="42">
        <v>-23332</v>
      </c>
      <c r="D27" s="42">
        <v>-24924</v>
      </c>
      <c r="E27" s="42">
        <v>-21732</v>
      </c>
      <c r="F27" s="42">
        <v>-29964</v>
      </c>
      <c r="G27" s="42">
        <v>-35198</v>
      </c>
      <c r="H27" s="42">
        <v>-29847</v>
      </c>
      <c r="I27" s="42">
        <v>-29709</v>
      </c>
      <c r="J27" s="42">
        <v>-42816</v>
      </c>
      <c r="K27" s="42">
        <v>-62557</v>
      </c>
      <c r="L27" s="42">
        <v>-47414</v>
      </c>
      <c r="M27" s="42">
        <v>-21443</v>
      </c>
    </row>
    <row r="28" spans="1:13" x14ac:dyDescent="0.35">
      <c r="A28" t="s">
        <v>143</v>
      </c>
      <c r="B28" s="42">
        <v>-6171</v>
      </c>
      <c r="C28" s="42">
        <v>-6307</v>
      </c>
      <c r="D28" s="42">
        <v>-5716</v>
      </c>
      <c r="E28" s="42">
        <v>-5336</v>
      </c>
      <c r="F28" s="42">
        <v>-5411</v>
      </c>
      <c r="G28" s="42">
        <v>-7005</v>
      </c>
      <c r="H28" s="42">
        <v>-7518</v>
      </c>
      <c r="I28" s="42">
        <v>-8123</v>
      </c>
      <c r="J28" s="42">
        <v>-9251</v>
      </c>
      <c r="K28" s="42">
        <v>-9336</v>
      </c>
      <c r="L28" s="42">
        <v>-9332</v>
      </c>
      <c r="M28" s="42">
        <v>-5814</v>
      </c>
    </row>
    <row r="29" spans="1:13" x14ac:dyDescent="0.35">
      <c r="A29" t="s">
        <v>144</v>
      </c>
      <c r="B29">
        <v>-722</v>
      </c>
      <c r="C29">
        <v>-720</v>
      </c>
      <c r="D29">
        <v>-108</v>
      </c>
      <c r="E29">
        <v>-121</v>
      </c>
      <c r="F29">
        <v>-96</v>
      </c>
      <c r="G29">
        <v>-95</v>
      </c>
      <c r="H29">
        <v>-57</v>
      </c>
      <c r="I29">
        <v>-30</v>
      </c>
      <c r="J29">
        <v>-100</v>
      </c>
      <c r="K29">
        <v>-141</v>
      </c>
      <c r="L29" s="42">
        <v>-1059</v>
      </c>
      <c r="M29" s="42">
        <v>-2492</v>
      </c>
    </row>
    <row r="30" spans="1:13" x14ac:dyDescent="0.35">
      <c r="A30" t="s">
        <v>145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 s="42">
        <v>-1346</v>
      </c>
      <c r="I30" s="42">
        <v>-1477</v>
      </c>
      <c r="J30" s="42">
        <v>-1559</v>
      </c>
      <c r="K30" s="42">
        <v>-1517</v>
      </c>
      <c r="L30" s="42">
        <v>-1924</v>
      </c>
      <c r="M30" s="42">
        <v>-2393</v>
      </c>
    </row>
    <row r="31" spans="1:13" x14ac:dyDescent="0.35">
      <c r="A31" t="s">
        <v>146</v>
      </c>
      <c r="B31">
        <v>-450</v>
      </c>
      <c r="C31">
        <v>-57</v>
      </c>
      <c r="D31">
        <v>0</v>
      </c>
      <c r="E31">
        <v>0</v>
      </c>
      <c r="F31">
        <v>0</v>
      </c>
      <c r="G31">
        <v>0</v>
      </c>
      <c r="H31">
        <v>-29</v>
      </c>
      <c r="I31">
        <v>0</v>
      </c>
      <c r="J31" s="42">
        <v>3750</v>
      </c>
      <c r="K31" s="42">
        <v>3355</v>
      </c>
      <c r="L31" s="42">
        <v>3812</v>
      </c>
      <c r="M31" s="42">
        <v>-1136</v>
      </c>
    </row>
    <row r="32" spans="1:13" x14ac:dyDescent="0.35">
      <c r="A32" t="s">
        <v>35</v>
      </c>
      <c r="B32" s="42">
        <v>4277</v>
      </c>
      <c r="C32" s="42">
        <v>4500</v>
      </c>
      <c r="D32" s="42">
        <v>-2589</v>
      </c>
      <c r="E32" s="42">
        <v>-3167</v>
      </c>
      <c r="F32">
        <v>730</v>
      </c>
      <c r="G32" s="42">
        <v>6843</v>
      </c>
      <c r="H32" s="42">
        <v>-3092</v>
      </c>
      <c r="I32" s="42">
        <v>13232</v>
      </c>
      <c r="J32" s="42">
        <v>6459</v>
      </c>
      <c r="K32" s="42">
        <v>-6272</v>
      </c>
      <c r="L32" s="42">
        <v>8128</v>
      </c>
      <c r="M32" s="42">
        <v>-5666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93"/>
  <sheetViews>
    <sheetView zoomScale="120" zoomScaleNormal="120" zoomScalePageLayoutView="120" workbookViewId="0">
      <pane xSplit="1" ySplit="1" topLeftCell="G19" activePane="bottomRight" state="frozen"/>
      <selection activeCell="C4" sqref="C4"/>
      <selection pane="topRight" activeCell="C4" sqref="C4"/>
      <selection pane="bottomLeft" activeCell="C4" sqref="C4"/>
      <selection pane="bottomRight" activeCell="B9" sqref="B9"/>
    </sheetView>
  </sheetViews>
  <sheetFormatPr defaultColWidth="8.81640625" defaultRowHeight="14.5" x14ac:dyDescent="0.35"/>
  <cols>
    <col min="1" max="1" width="32.1796875" style="4" customWidth="1"/>
    <col min="2" max="2" width="13.453125" style="4" bestFit="1" customWidth="1"/>
    <col min="3" max="3" width="39.7265625" style="4" customWidth="1"/>
    <col min="4" max="11" width="13.453125" style="4" bestFit="1" customWidth="1"/>
    <col min="12" max="16384" width="8.81640625" style="4"/>
  </cols>
  <sheetData>
    <row r="1" spans="1:11" s="1" customFormat="1" x14ac:dyDescent="0.35">
      <c r="A1" s="1" t="s">
        <v>0</v>
      </c>
      <c r="B1" s="1" t="s">
        <v>54</v>
      </c>
      <c r="E1" s="78" t="str">
        <f>IF(B2&lt;&gt;B3, "A NEW VERSION OF THE WORKSHEET IS AVAILABLE", "")</f>
        <v/>
      </c>
      <c r="F1" s="78"/>
      <c r="G1" s="78"/>
      <c r="H1" s="78"/>
      <c r="I1" s="78"/>
      <c r="J1" s="78"/>
      <c r="K1" s="78"/>
    </row>
    <row r="2" spans="1:11" x14ac:dyDescent="0.35">
      <c r="A2" s="1" t="s">
        <v>52</v>
      </c>
      <c r="B2" s="4">
        <v>2.1</v>
      </c>
      <c r="E2" s="79" t="s">
        <v>36</v>
      </c>
      <c r="F2" s="79"/>
      <c r="G2" s="79"/>
      <c r="H2" s="79"/>
      <c r="I2" s="79"/>
      <c r="J2" s="79"/>
      <c r="K2" s="79"/>
    </row>
    <row r="3" spans="1:11" x14ac:dyDescent="0.35">
      <c r="A3" s="1" t="s">
        <v>53</v>
      </c>
      <c r="B3" s="4">
        <v>2.1</v>
      </c>
    </row>
    <row r="4" spans="1:11" x14ac:dyDescent="0.35">
      <c r="A4" s="1"/>
    </row>
    <row r="5" spans="1:11" x14ac:dyDescent="0.35">
      <c r="A5" s="1" t="s">
        <v>55</v>
      </c>
    </row>
    <row r="6" spans="1:11" x14ac:dyDescent="0.35">
      <c r="A6" s="4" t="s">
        <v>42</v>
      </c>
      <c r="B6" s="4">
        <f>IF(B9&gt;0, B9/B8, 0)</f>
        <v>368.19916373239431</v>
      </c>
    </row>
    <row r="7" spans="1:11" x14ac:dyDescent="0.35">
      <c r="A7" s="4" t="s">
        <v>31</v>
      </c>
      <c r="B7">
        <v>2</v>
      </c>
    </row>
    <row r="8" spans="1:11" x14ac:dyDescent="0.35">
      <c r="A8" s="4" t="s">
        <v>43</v>
      </c>
      <c r="B8">
        <v>681.6</v>
      </c>
    </row>
    <row r="9" spans="1:11" x14ac:dyDescent="0.35">
      <c r="A9" s="4" t="s">
        <v>70</v>
      </c>
      <c r="B9">
        <v>250964.55</v>
      </c>
    </row>
    <row r="15" spans="1:11" x14ac:dyDescent="0.35">
      <c r="A15" s="1" t="s">
        <v>37</v>
      </c>
    </row>
    <row r="16" spans="1:11" s="18" customFormat="1" x14ac:dyDescent="0.35">
      <c r="A16" s="17" t="s">
        <v>38</v>
      </c>
      <c r="B16" s="12">
        <v>42460</v>
      </c>
      <c r="C16" s="12">
        <v>42825</v>
      </c>
      <c r="D16" s="12">
        <v>43190</v>
      </c>
      <c r="E16" s="12">
        <v>43555</v>
      </c>
      <c r="F16" s="12">
        <v>43921</v>
      </c>
      <c r="G16" s="12">
        <v>44286</v>
      </c>
      <c r="H16" s="12">
        <v>44651</v>
      </c>
      <c r="I16" s="12">
        <v>45016</v>
      </c>
      <c r="J16" s="12">
        <v>45382</v>
      </c>
      <c r="K16" s="12">
        <v>45747</v>
      </c>
    </row>
    <row r="17" spans="1:11" s="6" customFormat="1" x14ac:dyDescent="0.35">
      <c r="A17" s="6" t="s">
        <v>6</v>
      </c>
      <c r="B17">
        <v>273045.59999999998</v>
      </c>
      <c r="C17">
        <v>269692.51</v>
      </c>
      <c r="D17">
        <v>291550.48</v>
      </c>
      <c r="E17">
        <v>301938.40000000002</v>
      </c>
      <c r="F17">
        <v>261067.97</v>
      </c>
      <c r="G17">
        <v>249794.75</v>
      </c>
      <c r="H17">
        <v>278453.62</v>
      </c>
      <c r="I17">
        <v>345966.97</v>
      </c>
      <c r="J17">
        <v>434016</v>
      </c>
      <c r="K17">
        <v>439695</v>
      </c>
    </row>
    <row r="18" spans="1:11" s="6" customFormat="1" x14ac:dyDescent="0.35">
      <c r="A18" s="4" t="s">
        <v>71</v>
      </c>
      <c r="B18">
        <v>166134.01</v>
      </c>
      <c r="C18">
        <v>173294.07999999999</v>
      </c>
      <c r="D18">
        <v>187896.58</v>
      </c>
      <c r="E18">
        <v>194267.91</v>
      </c>
      <c r="F18">
        <v>164899.82</v>
      </c>
      <c r="G18">
        <v>153607.35999999999</v>
      </c>
      <c r="H18">
        <v>179295.33</v>
      </c>
      <c r="I18">
        <v>231251.26</v>
      </c>
      <c r="J18">
        <v>274321</v>
      </c>
      <c r="K18">
        <v>268950</v>
      </c>
    </row>
    <row r="19" spans="1:11" s="6" customFormat="1" x14ac:dyDescent="0.35">
      <c r="A19" s="4" t="s">
        <v>72</v>
      </c>
      <c r="B19">
        <v>2750.99</v>
      </c>
      <c r="C19">
        <v>7399.92</v>
      </c>
      <c r="D19">
        <v>2046.58</v>
      </c>
      <c r="E19">
        <v>-2053.2800000000002</v>
      </c>
      <c r="F19">
        <v>-2231.19</v>
      </c>
      <c r="G19">
        <v>-4684.16</v>
      </c>
      <c r="H19">
        <v>-1590.49</v>
      </c>
      <c r="I19">
        <v>4781.62</v>
      </c>
      <c r="J19">
        <v>1566</v>
      </c>
      <c r="K19">
        <v>-2836</v>
      </c>
    </row>
    <row r="20" spans="1:11" s="6" customFormat="1" x14ac:dyDescent="0.35">
      <c r="A20" s="4" t="s">
        <v>73</v>
      </c>
      <c r="B20">
        <v>1143.6300000000001</v>
      </c>
      <c r="C20">
        <v>1159.82</v>
      </c>
      <c r="D20">
        <v>1308.08</v>
      </c>
      <c r="E20">
        <v>1585.93</v>
      </c>
      <c r="F20">
        <v>1264.95</v>
      </c>
      <c r="G20">
        <v>1112.8699999999999</v>
      </c>
      <c r="H20">
        <v>2178.29</v>
      </c>
      <c r="I20">
        <v>2513.33</v>
      </c>
      <c r="J20">
        <v>2189</v>
      </c>
      <c r="K20">
        <v>2443</v>
      </c>
    </row>
    <row r="21" spans="1:11" s="6" customFormat="1" x14ac:dyDescent="0.35">
      <c r="A21" s="4" t="s">
        <v>74</v>
      </c>
      <c r="B21">
        <v>12101.53</v>
      </c>
      <c r="C21">
        <v>10067.370000000001</v>
      </c>
      <c r="D21">
        <v>10971.66</v>
      </c>
      <c r="E21">
        <v>11694.54</v>
      </c>
      <c r="F21">
        <v>11541.51</v>
      </c>
      <c r="G21">
        <v>8273.17</v>
      </c>
      <c r="H21">
        <v>9427.3799999999992</v>
      </c>
      <c r="I21">
        <v>11765.97</v>
      </c>
      <c r="J21">
        <v>17446</v>
      </c>
      <c r="K21">
        <v>18813</v>
      </c>
    </row>
    <row r="22" spans="1:11" s="6" customFormat="1" x14ac:dyDescent="0.35">
      <c r="A22" s="4" t="s">
        <v>75</v>
      </c>
      <c r="B22">
        <v>28880.89</v>
      </c>
      <c r="C22">
        <v>28332.89</v>
      </c>
      <c r="D22">
        <v>30300.09</v>
      </c>
      <c r="E22">
        <v>33243.870000000003</v>
      </c>
      <c r="F22">
        <v>30438.6</v>
      </c>
      <c r="G22">
        <v>27648.48</v>
      </c>
      <c r="H22">
        <v>30808.52</v>
      </c>
      <c r="I22">
        <v>33654.699999999997</v>
      </c>
      <c r="J22">
        <v>41990</v>
      </c>
      <c r="K22">
        <v>47767</v>
      </c>
    </row>
    <row r="23" spans="1:11" s="6" customFormat="1" x14ac:dyDescent="0.35">
      <c r="A23" s="4" t="s">
        <v>76</v>
      </c>
      <c r="B23">
        <v>21991.9</v>
      </c>
      <c r="C23">
        <v>30039.38</v>
      </c>
      <c r="D23">
        <v>31004.58</v>
      </c>
      <c r="E23">
        <v>32719.8</v>
      </c>
      <c r="F23">
        <v>29248.32</v>
      </c>
      <c r="G23">
        <v>23015.79</v>
      </c>
      <c r="H23">
        <v>29205.4</v>
      </c>
      <c r="I23">
        <v>34839.19</v>
      </c>
      <c r="J23">
        <v>42765</v>
      </c>
      <c r="K23">
        <v>47099</v>
      </c>
    </row>
    <row r="24" spans="1:11" s="6" customFormat="1" x14ac:dyDescent="0.35">
      <c r="A24" s="4" t="s">
        <v>77</v>
      </c>
      <c r="B24">
        <v>7149.38</v>
      </c>
      <c r="C24">
        <v>4610.2</v>
      </c>
      <c r="D24">
        <v>658.39</v>
      </c>
      <c r="E24">
        <v>1708.74</v>
      </c>
      <c r="F24">
        <v>3456.51</v>
      </c>
      <c r="G24">
        <v>-834.51</v>
      </c>
      <c r="H24">
        <v>1228.1199999999999</v>
      </c>
      <c r="I24">
        <v>4908.34</v>
      </c>
      <c r="J24">
        <v>-953</v>
      </c>
      <c r="K24">
        <v>-3429</v>
      </c>
    </row>
    <row r="25" spans="1:11" s="6" customFormat="1" x14ac:dyDescent="0.35">
      <c r="A25" s="6" t="s">
        <v>9</v>
      </c>
      <c r="B25">
        <v>-2669.62</v>
      </c>
      <c r="C25">
        <v>1869.1</v>
      </c>
      <c r="D25">
        <v>5932.73</v>
      </c>
      <c r="E25">
        <v>-26686.25</v>
      </c>
      <c r="F25">
        <v>101.71</v>
      </c>
      <c r="G25">
        <v>-11117.83</v>
      </c>
      <c r="H25">
        <v>2424.0500000000002</v>
      </c>
      <c r="I25">
        <v>6663.97</v>
      </c>
      <c r="J25">
        <v>4792</v>
      </c>
      <c r="K25">
        <v>11774</v>
      </c>
    </row>
    <row r="26" spans="1:11" s="6" customFormat="1" x14ac:dyDescent="0.35">
      <c r="A26" s="6" t="s">
        <v>10</v>
      </c>
      <c r="B26">
        <v>16710.78</v>
      </c>
      <c r="C26">
        <v>17904.990000000002</v>
      </c>
      <c r="D26">
        <v>21553.59</v>
      </c>
      <c r="E26">
        <v>23590.63</v>
      </c>
      <c r="F26">
        <v>21425.43</v>
      </c>
      <c r="G26">
        <v>23546.71</v>
      </c>
      <c r="H26">
        <v>24835.69</v>
      </c>
      <c r="I26">
        <v>24860.36</v>
      </c>
      <c r="J26">
        <v>27239</v>
      </c>
      <c r="K26">
        <v>23256</v>
      </c>
    </row>
    <row r="27" spans="1:11" s="6" customFormat="1" x14ac:dyDescent="0.35">
      <c r="A27" s="6" t="s">
        <v>11</v>
      </c>
      <c r="B27">
        <v>4889.08</v>
      </c>
      <c r="C27">
        <v>4238.01</v>
      </c>
      <c r="D27">
        <v>4681.79</v>
      </c>
      <c r="E27">
        <v>5758.6</v>
      </c>
      <c r="F27">
        <v>7243.33</v>
      </c>
      <c r="G27">
        <v>8097.17</v>
      </c>
      <c r="H27">
        <v>9311.86</v>
      </c>
      <c r="I27">
        <v>10225.48</v>
      </c>
      <c r="J27">
        <v>7594</v>
      </c>
      <c r="K27">
        <v>5083</v>
      </c>
    </row>
    <row r="28" spans="1:11" s="6" customFormat="1" x14ac:dyDescent="0.35">
      <c r="A28" s="6" t="s">
        <v>12</v>
      </c>
      <c r="B28">
        <v>14125.77</v>
      </c>
      <c r="C28">
        <v>9314.7900000000009</v>
      </c>
      <c r="D28">
        <v>11155.03</v>
      </c>
      <c r="E28">
        <v>-31371.15</v>
      </c>
      <c r="F28">
        <v>-10579.98</v>
      </c>
      <c r="G28">
        <v>-10474.280000000001</v>
      </c>
      <c r="H28">
        <v>-7003.41</v>
      </c>
      <c r="I28">
        <v>3393.93</v>
      </c>
      <c r="J28">
        <v>27783</v>
      </c>
      <c r="K28">
        <v>38651</v>
      </c>
    </row>
    <row r="29" spans="1:11" s="6" customFormat="1" x14ac:dyDescent="0.35">
      <c r="A29" s="6" t="s">
        <v>13</v>
      </c>
      <c r="B29">
        <v>3025.05</v>
      </c>
      <c r="C29">
        <v>3251.23</v>
      </c>
      <c r="D29">
        <v>4341.93</v>
      </c>
      <c r="E29">
        <v>-2437.4499999999998</v>
      </c>
      <c r="F29">
        <v>395.25</v>
      </c>
      <c r="G29">
        <v>2541.86</v>
      </c>
      <c r="H29">
        <v>4231.29</v>
      </c>
      <c r="I29">
        <v>704.06</v>
      </c>
      <c r="J29">
        <v>-4024</v>
      </c>
      <c r="K29">
        <v>10502</v>
      </c>
    </row>
    <row r="30" spans="1:11" s="6" customFormat="1" x14ac:dyDescent="0.35">
      <c r="A30" s="6" t="s">
        <v>14</v>
      </c>
      <c r="B30">
        <v>11579.31</v>
      </c>
      <c r="C30">
        <v>7454.36</v>
      </c>
      <c r="D30">
        <v>8988.91</v>
      </c>
      <c r="E30">
        <v>-28826.23</v>
      </c>
      <c r="F30">
        <v>-12070.85</v>
      </c>
      <c r="G30">
        <v>-13451.39</v>
      </c>
      <c r="H30">
        <v>-11441.47</v>
      </c>
      <c r="I30">
        <v>2414.29</v>
      </c>
      <c r="J30">
        <v>31399</v>
      </c>
      <c r="K30">
        <v>27830</v>
      </c>
    </row>
    <row r="31" spans="1:11" s="6" customFormat="1" x14ac:dyDescent="0.35">
      <c r="A31" s="6" t="s">
        <v>61</v>
      </c>
      <c r="B31">
        <v>67.92</v>
      </c>
      <c r="I31">
        <v>766.02</v>
      </c>
      <c r="J31">
        <v>2301</v>
      </c>
      <c r="K31">
        <v>2208</v>
      </c>
    </row>
    <row r="32" spans="1:11" s="6" customFormat="1" x14ac:dyDescent="0.35"/>
    <row r="33" spans="1:11" x14ac:dyDescent="0.35">
      <c r="A33" s="6"/>
    </row>
    <row r="34" spans="1:11" x14ac:dyDescent="0.35">
      <c r="A34" s="6"/>
    </row>
    <row r="35" spans="1:11" x14ac:dyDescent="0.35">
      <c r="A35" s="6"/>
    </row>
    <row r="36" spans="1:11" x14ac:dyDescent="0.35">
      <c r="A36" s="6"/>
    </row>
    <row r="37" spans="1:11" x14ac:dyDescent="0.35">
      <c r="A37" s="6"/>
    </row>
    <row r="38" spans="1:11" x14ac:dyDescent="0.35">
      <c r="A38" s="6"/>
    </row>
    <row r="39" spans="1:11" x14ac:dyDescent="0.35">
      <c r="A39" s="6"/>
    </row>
    <row r="40" spans="1:11" x14ac:dyDescent="0.35">
      <c r="A40" s="1" t="s">
        <v>39</v>
      </c>
    </row>
    <row r="41" spans="1:11" s="18" customFormat="1" x14ac:dyDescent="0.35">
      <c r="A41" s="17" t="s">
        <v>38</v>
      </c>
      <c r="B41" s="12">
        <v>44926</v>
      </c>
      <c r="C41" s="12">
        <v>45016</v>
      </c>
      <c r="D41" s="12">
        <v>45107</v>
      </c>
      <c r="E41" s="12">
        <v>45199</v>
      </c>
      <c r="F41" s="12">
        <v>45291</v>
      </c>
      <c r="G41" s="12">
        <v>45382</v>
      </c>
      <c r="H41" s="12">
        <v>45473</v>
      </c>
      <c r="I41" s="12">
        <v>45565</v>
      </c>
      <c r="J41" s="12">
        <v>45657</v>
      </c>
      <c r="K41" s="12">
        <v>45747</v>
      </c>
    </row>
    <row r="42" spans="1:11" s="6" customFormat="1" x14ac:dyDescent="0.35">
      <c r="A42" s="6" t="s">
        <v>6</v>
      </c>
      <c r="B42">
        <v>88488.59</v>
      </c>
      <c r="C42">
        <v>105932.35</v>
      </c>
      <c r="D42">
        <v>102236</v>
      </c>
      <c r="E42">
        <v>105129</v>
      </c>
      <c r="F42">
        <v>110577</v>
      </c>
      <c r="G42">
        <v>119033</v>
      </c>
      <c r="H42">
        <v>108048</v>
      </c>
      <c r="I42">
        <v>101450</v>
      </c>
      <c r="J42">
        <v>112608</v>
      </c>
      <c r="K42">
        <v>119503</v>
      </c>
    </row>
    <row r="43" spans="1:11" s="6" customFormat="1" x14ac:dyDescent="0.35">
      <c r="A43" s="6" t="s">
        <v>7</v>
      </c>
      <c r="B43">
        <v>77668.350000000006</v>
      </c>
      <c r="C43">
        <v>92817.95</v>
      </c>
      <c r="D43">
        <v>89019</v>
      </c>
      <c r="E43">
        <v>91362</v>
      </c>
      <c r="F43">
        <v>95159</v>
      </c>
      <c r="G43">
        <v>102348</v>
      </c>
      <c r="H43">
        <v>92263</v>
      </c>
      <c r="I43">
        <v>89291</v>
      </c>
      <c r="J43">
        <v>100185</v>
      </c>
      <c r="K43">
        <v>102685</v>
      </c>
    </row>
    <row r="44" spans="1:11" s="6" customFormat="1" x14ac:dyDescent="0.35">
      <c r="A44" s="6" t="s">
        <v>9</v>
      </c>
      <c r="B44">
        <v>1129.98</v>
      </c>
      <c r="C44">
        <v>1452.86</v>
      </c>
      <c r="D44">
        <v>895</v>
      </c>
      <c r="E44">
        <v>1557</v>
      </c>
      <c r="F44">
        <v>1604</v>
      </c>
      <c r="G44">
        <v>1412</v>
      </c>
      <c r="H44">
        <v>1747</v>
      </c>
      <c r="I44">
        <v>1647</v>
      </c>
      <c r="J44">
        <v>1700</v>
      </c>
      <c r="K44">
        <v>1057</v>
      </c>
    </row>
    <row r="45" spans="1:11" s="6" customFormat="1" x14ac:dyDescent="0.35">
      <c r="A45" s="6" t="s">
        <v>10</v>
      </c>
      <c r="B45">
        <v>6071.78</v>
      </c>
      <c r="C45">
        <v>7050.2</v>
      </c>
      <c r="D45">
        <v>6633</v>
      </c>
      <c r="E45">
        <v>6637</v>
      </c>
      <c r="F45">
        <v>6850</v>
      </c>
      <c r="G45">
        <v>7143</v>
      </c>
      <c r="H45">
        <v>6574</v>
      </c>
      <c r="I45">
        <v>6005</v>
      </c>
      <c r="J45">
        <v>5399</v>
      </c>
      <c r="K45">
        <v>5295</v>
      </c>
    </row>
    <row r="46" spans="1:11" s="6" customFormat="1" x14ac:dyDescent="0.35">
      <c r="A46" s="6" t="s">
        <v>11</v>
      </c>
      <c r="B46">
        <v>2675.83</v>
      </c>
      <c r="C46">
        <v>2641.67</v>
      </c>
      <c r="D46">
        <v>2615</v>
      </c>
      <c r="E46">
        <v>2652</v>
      </c>
      <c r="F46">
        <v>2485</v>
      </c>
      <c r="G46">
        <v>1645</v>
      </c>
      <c r="H46">
        <v>2088</v>
      </c>
      <c r="I46">
        <v>2034</v>
      </c>
      <c r="J46">
        <v>1119</v>
      </c>
      <c r="K46">
        <v>1076</v>
      </c>
    </row>
    <row r="47" spans="1:11" s="6" customFormat="1" x14ac:dyDescent="0.35">
      <c r="A47" s="6" t="s">
        <v>12</v>
      </c>
      <c r="B47">
        <v>3202.61</v>
      </c>
      <c r="C47">
        <v>4875.3900000000003</v>
      </c>
      <c r="D47">
        <v>4864</v>
      </c>
      <c r="E47">
        <v>6035</v>
      </c>
      <c r="F47">
        <v>7687</v>
      </c>
      <c r="G47">
        <v>9309</v>
      </c>
      <c r="H47">
        <v>8870</v>
      </c>
      <c r="I47">
        <v>5767</v>
      </c>
      <c r="J47">
        <v>7605</v>
      </c>
      <c r="K47">
        <v>11504</v>
      </c>
    </row>
    <row r="48" spans="1:11" s="6" customFormat="1" x14ac:dyDescent="0.35">
      <c r="A48" s="6" t="s">
        <v>13</v>
      </c>
      <c r="B48">
        <v>262.83</v>
      </c>
      <c r="C48">
        <v>-620.65</v>
      </c>
      <c r="D48">
        <v>1563</v>
      </c>
      <c r="E48">
        <v>2203</v>
      </c>
      <c r="F48">
        <v>542</v>
      </c>
      <c r="G48">
        <v>-8219</v>
      </c>
      <c r="H48">
        <v>3178</v>
      </c>
      <c r="I48">
        <v>2317</v>
      </c>
      <c r="J48">
        <v>2120</v>
      </c>
      <c r="K48">
        <v>2948</v>
      </c>
    </row>
    <row r="49" spans="1:11" s="6" customFormat="1" x14ac:dyDescent="0.35">
      <c r="A49" s="6" t="s">
        <v>14</v>
      </c>
      <c r="B49">
        <v>2957.71</v>
      </c>
      <c r="C49">
        <v>5407.79</v>
      </c>
      <c r="D49">
        <v>3203</v>
      </c>
      <c r="E49">
        <v>3764</v>
      </c>
      <c r="F49">
        <v>7025</v>
      </c>
      <c r="G49">
        <v>17407</v>
      </c>
      <c r="H49">
        <v>5566</v>
      </c>
      <c r="I49">
        <v>3343</v>
      </c>
      <c r="J49">
        <v>5406</v>
      </c>
      <c r="K49">
        <v>8470</v>
      </c>
    </row>
    <row r="50" spans="1:11" x14ac:dyDescent="0.35">
      <c r="A50" s="6" t="s">
        <v>8</v>
      </c>
      <c r="B50">
        <v>10820.24</v>
      </c>
      <c r="C50">
        <v>13114.4</v>
      </c>
      <c r="D50">
        <v>13217</v>
      </c>
      <c r="E50">
        <v>13767</v>
      </c>
      <c r="F50">
        <v>15418</v>
      </c>
      <c r="G50">
        <v>16685</v>
      </c>
      <c r="H50">
        <v>15785</v>
      </c>
      <c r="I50">
        <v>12159</v>
      </c>
      <c r="J50">
        <v>12423</v>
      </c>
      <c r="K50">
        <v>16818</v>
      </c>
    </row>
    <row r="51" spans="1:11" x14ac:dyDescent="0.35">
      <c r="A51" s="6"/>
    </row>
    <row r="52" spans="1:11" x14ac:dyDescent="0.35">
      <c r="A52" s="6"/>
    </row>
    <row r="53" spans="1:11" x14ac:dyDescent="0.35">
      <c r="A53" s="6"/>
    </row>
    <row r="54" spans="1:11" x14ac:dyDescent="0.35">
      <c r="A54" s="6"/>
    </row>
    <row r="55" spans="1:11" x14ac:dyDescent="0.35">
      <c r="A55" s="1" t="s">
        <v>40</v>
      </c>
    </row>
    <row r="56" spans="1:11" s="18" customFormat="1" x14ac:dyDescent="0.35">
      <c r="A56" s="17" t="s">
        <v>38</v>
      </c>
      <c r="B56" s="12">
        <v>42460</v>
      </c>
      <c r="C56" s="12">
        <v>42825</v>
      </c>
      <c r="D56" s="12">
        <v>43190</v>
      </c>
      <c r="E56" s="12">
        <v>43555</v>
      </c>
      <c r="F56" s="12">
        <v>43921</v>
      </c>
      <c r="G56" s="12">
        <v>44286</v>
      </c>
      <c r="H56" s="12">
        <v>44651</v>
      </c>
      <c r="I56" s="12">
        <v>45016</v>
      </c>
      <c r="J56" s="12">
        <v>45382</v>
      </c>
      <c r="K56" s="12">
        <v>45747</v>
      </c>
    </row>
    <row r="57" spans="1:11" x14ac:dyDescent="0.35">
      <c r="A57" s="6" t="s">
        <v>24</v>
      </c>
      <c r="B57">
        <v>679.18</v>
      </c>
      <c r="C57">
        <v>679.22</v>
      </c>
      <c r="D57">
        <v>679.22</v>
      </c>
      <c r="E57">
        <v>679.22</v>
      </c>
      <c r="F57">
        <v>719.54</v>
      </c>
      <c r="G57">
        <v>765.81</v>
      </c>
      <c r="H57">
        <v>765.88</v>
      </c>
      <c r="I57">
        <v>766.02</v>
      </c>
      <c r="J57">
        <v>767</v>
      </c>
      <c r="K57">
        <v>736</v>
      </c>
    </row>
    <row r="58" spans="1:11" x14ac:dyDescent="0.35">
      <c r="A58" s="6" t="s">
        <v>25</v>
      </c>
      <c r="B58">
        <v>78273.23</v>
      </c>
      <c r="C58">
        <v>57382.67</v>
      </c>
      <c r="D58">
        <v>94748.69</v>
      </c>
      <c r="E58">
        <v>59500.34</v>
      </c>
      <c r="F58">
        <v>62358.99</v>
      </c>
      <c r="G58">
        <v>54480.91</v>
      </c>
      <c r="H58">
        <v>43795.360000000001</v>
      </c>
      <c r="I58">
        <v>44555.77</v>
      </c>
      <c r="J58">
        <v>84151</v>
      </c>
      <c r="K58">
        <v>115408</v>
      </c>
    </row>
    <row r="59" spans="1:11" x14ac:dyDescent="0.35">
      <c r="A59" s="6" t="s">
        <v>62</v>
      </c>
      <c r="B59">
        <v>69359.960000000006</v>
      </c>
      <c r="C59">
        <v>78603.98</v>
      </c>
      <c r="D59">
        <v>88950.47</v>
      </c>
      <c r="E59">
        <v>106175.34</v>
      </c>
      <c r="F59">
        <v>124787.64</v>
      </c>
      <c r="G59">
        <v>142130.57</v>
      </c>
      <c r="H59">
        <v>146449.03</v>
      </c>
      <c r="I59">
        <v>134113.44</v>
      </c>
      <c r="J59">
        <v>107264</v>
      </c>
      <c r="K59">
        <v>71540</v>
      </c>
    </row>
    <row r="60" spans="1:11" x14ac:dyDescent="0.35">
      <c r="A60" s="6" t="s">
        <v>63</v>
      </c>
      <c r="B60">
        <v>114871.75</v>
      </c>
      <c r="C60">
        <v>135914.49</v>
      </c>
      <c r="D60">
        <v>142813.43</v>
      </c>
      <c r="E60">
        <v>139348.59</v>
      </c>
      <c r="F60">
        <v>132313.22</v>
      </c>
      <c r="G60">
        <v>144192.62</v>
      </c>
      <c r="H60">
        <v>138051.22</v>
      </c>
      <c r="I60">
        <v>155239.20000000001</v>
      </c>
      <c r="J60">
        <v>177339</v>
      </c>
      <c r="K60">
        <v>189289</v>
      </c>
    </row>
    <row r="61" spans="1:11" s="1" customFormat="1" x14ac:dyDescent="0.35">
      <c r="A61" s="1" t="s">
        <v>26</v>
      </c>
      <c r="B61">
        <v>263184.12</v>
      </c>
      <c r="C61">
        <v>272580.36</v>
      </c>
      <c r="D61">
        <v>327191.81</v>
      </c>
      <c r="E61">
        <v>305703.49</v>
      </c>
      <c r="F61">
        <v>320179.39</v>
      </c>
      <c r="G61">
        <v>341569.91</v>
      </c>
      <c r="H61">
        <v>329061.49</v>
      </c>
      <c r="I61">
        <v>334674.43</v>
      </c>
      <c r="J61">
        <v>369521</v>
      </c>
      <c r="K61">
        <v>376973</v>
      </c>
    </row>
    <row r="62" spans="1:11" x14ac:dyDescent="0.35">
      <c r="A62" s="6" t="s">
        <v>27</v>
      </c>
      <c r="B62">
        <v>107231.76</v>
      </c>
      <c r="C62">
        <v>95944.08</v>
      </c>
      <c r="D62">
        <v>121413.86</v>
      </c>
      <c r="E62">
        <v>111234.47</v>
      </c>
      <c r="F62">
        <v>127107.14</v>
      </c>
      <c r="G62">
        <v>138707.60999999999</v>
      </c>
      <c r="H62">
        <v>138855.45000000001</v>
      </c>
      <c r="I62">
        <v>132079.76</v>
      </c>
      <c r="J62">
        <v>121285</v>
      </c>
      <c r="K62">
        <v>115697</v>
      </c>
    </row>
    <row r="63" spans="1:11" x14ac:dyDescent="0.35">
      <c r="A63" s="6" t="s">
        <v>28</v>
      </c>
      <c r="B63">
        <v>25918.94</v>
      </c>
      <c r="C63">
        <v>33698.839999999997</v>
      </c>
      <c r="D63">
        <v>40033.5</v>
      </c>
      <c r="E63">
        <v>31883.84</v>
      </c>
      <c r="F63">
        <v>35622.29</v>
      </c>
      <c r="G63">
        <v>20963.93</v>
      </c>
      <c r="H63">
        <v>10251.09</v>
      </c>
      <c r="I63">
        <v>14274.5</v>
      </c>
      <c r="J63">
        <v>35698</v>
      </c>
      <c r="K63">
        <v>65806</v>
      </c>
    </row>
    <row r="64" spans="1:11" x14ac:dyDescent="0.35">
      <c r="A64" s="6" t="s">
        <v>29</v>
      </c>
      <c r="B64">
        <v>23767.02</v>
      </c>
      <c r="C64">
        <v>20337.919999999998</v>
      </c>
      <c r="D64">
        <v>20812.75</v>
      </c>
      <c r="E64">
        <v>15770.72</v>
      </c>
      <c r="F64">
        <v>16308.48</v>
      </c>
      <c r="G64">
        <v>24620.28</v>
      </c>
      <c r="H64">
        <v>29379.53</v>
      </c>
      <c r="I64">
        <v>26379.16</v>
      </c>
      <c r="J64">
        <v>22971</v>
      </c>
      <c r="K64">
        <v>35656</v>
      </c>
    </row>
    <row r="65" spans="1:11" x14ac:dyDescent="0.35">
      <c r="A65" s="6" t="s">
        <v>64</v>
      </c>
      <c r="B65">
        <v>106266.4</v>
      </c>
      <c r="C65">
        <v>122599.52</v>
      </c>
      <c r="D65">
        <v>144931.70000000001</v>
      </c>
      <c r="E65">
        <v>146814.46</v>
      </c>
      <c r="F65">
        <v>141141.48000000001</v>
      </c>
      <c r="G65">
        <v>157278.09</v>
      </c>
      <c r="H65">
        <v>150575.42000000001</v>
      </c>
      <c r="I65">
        <v>161941.01</v>
      </c>
      <c r="J65">
        <v>189567</v>
      </c>
      <c r="K65">
        <v>159814</v>
      </c>
    </row>
    <row r="66" spans="1:11" s="1" customFormat="1" x14ac:dyDescent="0.35">
      <c r="A66" s="1" t="s">
        <v>26</v>
      </c>
      <c r="B66">
        <v>263184.12</v>
      </c>
      <c r="C66">
        <v>272580.36</v>
      </c>
      <c r="D66">
        <v>327191.81</v>
      </c>
      <c r="E66">
        <v>305703.49</v>
      </c>
      <c r="F66">
        <v>320179.39</v>
      </c>
      <c r="G66">
        <v>341569.91</v>
      </c>
      <c r="H66">
        <v>329061.49</v>
      </c>
      <c r="I66">
        <v>334674.43</v>
      </c>
      <c r="J66">
        <v>369521</v>
      </c>
      <c r="K66">
        <v>376973</v>
      </c>
    </row>
    <row r="67" spans="1:11" s="6" customFormat="1" x14ac:dyDescent="0.35">
      <c r="A67" s="6" t="s">
        <v>69</v>
      </c>
      <c r="B67">
        <v>13570.91</v>
      </c>
      <c r="C67">
        <v>14075.55</v>
      </c>
      <c r="D67">
        <v>19893.3</v>
      </c>
      <c r="E67">
        <v>18996.169999999998</v>
      </c>
      <c r="F67">
        <v>11172.69</v>
      </c>
      <c r="G67">
        <v>12679.08</v>
      </c>
      <c r="H67">
        <v>12442.12</v>
      </c>
      <c r="I67">
        <v>15737.97</v>
      </c>
      <c r="J67">
        <v>16952</v>
      </c>
      <c r="K67">
        <v>13248</v>
      </c>
    </row>
    <row r="68" spans="1:11" x14ac:dyDescent="0.35">
      <c r="A68" s="6" t="s">
        <v>45</v>
      </c>
      <c r="B68">
        <v>32655.73</v>
      </c>
      <c r="C68">
        <v>35085.31</v>
      </c>
      <c r="D68">
        <v>42137.63</v>
      </c>
      <c r="E68">
        <v>39013.730000000003</v>
      </c>
      <c r="F68">
        <v>37456.879999999997</v>
      </c>
      <c r="G68">
        <v>36088.589999999997</v>
      </c>
      <c r="H68">
        <v>35240.339999999997</v>
      </c>
      <c r="I68">
        <v>40755.39</v>
      </c>
      <c r="J68">
        <v>47788</v>
      </c>
      <c r="K68">
        <v>47269</v>
      </c>
    </row>
    <row r="69" spans="1:11" x14ac:dyDescent="0.35">
      <c r="A69" s="4" t="s">
        <v>78</v>
      </c>
      <c r="B69">
        <v>30460.400000000001</v>
      </c>
      <c r="C69">
        <v>36077.879999999997</v>
      </c>
      <c r="D69">
        <v>34613.910000000003</v>
      </c>
      <c r="E69">
        <v>32648.82</v>
      </c>
      <c r="F69">
        <v>33726.97</v>
      </c>
      <c r="G69">
        <v>46792.46</v>
      </c>
      <c r="H69">
        <v>40669.19</v>
      </c>
      <c r="I69">
        <v>37015.56</v>
      </c>
      <c r="J69">
        <v>45807</v>
      </c>
      <c r="K69">
        <v>40834</v>
      </c>
    </row>
    <row r="70" spans="1:11" x14ac:dyDescent="0.35">
      <c r="A70" s="4" t="s">
        <v>65</v>
      </c>
      <c r="B70">
        <v>3395930306</v>
      </c>
      <c r="C70">
        <v>3396100719</v>
      </c>
      <c r="D70">
        <v>3396100719</v>
      </c>
      <c r="E70">
        <v>3396100719</v>
      </c>
      <c r="F70">
        <v>3597726185</v>
      </c>
      <c r="G70">
        <v>3829060661</v>
      </c>
      <c r="H70">
        <v>3829414903</v>
      </c>
      <c r="I70">
        <v>3830097221</v>
      </c>
      <c r="J70">
        <v>3832491897</v>
      </c>
      <c r="K70">
        <v>3681348742</v>
      </c>
    </row>
    <row r="71" spans="1:11" x14ac:dyDescent="0.35">
      <c r="A71" s="4" t="s">
        <v>66</v>
      </c>
    </row>
    <row r="72" spans="1:11" x14ac:dyDescent="0.35">
      <c r="A72" s="4" t="s">
        <v>79</v>
      </c>
      <c r="B72">
        <v>2</v>
      </c>
      <c r="C72">
        <v>2</v>
      </c>
      <c r="D72">
        <v>2</v>
      </c>
      <c r="E72">
        <v>2</v>
      </c>
      <c r="F72">
        <v>2</v>
      </c>
      <c r="G72">
        <v>2</v>
      </c>
      <c r="H72">
        <v>2</v>
      </c>
      <c r="I72">
        <v>2</v>
      </c>
      <c r="J72">
        <v>2</v>
      </c>
      <c r="K72">
        <v>2</v>
      </c>
    </row>
    <row r="74" spans="1:11" x14ac:dyDescent="0.35">
      <c r="A74" s="6"/>
    </row>
    <row r="75" spans="1:11" x14ac:dyDescent="0.35">
      <c r="A75" s="6"/>
    </row>
    <row r="76" spans="1:11" x14ac:dyDescent="0.35">
      <c r="A76" s="6"/>
    </row>
    <row r="77" spans="1:11" x14ac:dyDescent="0.35">
      <c r="A77" s="6"/>
    </row>
    <row r="78" spans="1:11" x14ac:dyDescent="0.35">
      <c r="A78" s="6"/>
    </row>
    <row r="79" spans="1:11" x14ac:dyDescent="0.35">
      <c r="A79" s="6"/>
    </row>
    <row r="80" spans="1:11" x14ac:dyDescent="0.35">
      <c r="A80" s="1" t="s">
        <v>41</v>
      </c>
    </row>
    <row r="81" spans="1:11" s="18" customFormat="1" x14ac:dyDescent="0.35">
      <c r="A81" s="17" t="s">
        <v>38</v>
      </c>
      <c r="B81" s="12">
        <v>42460</v>
      </c>
      <c r="C81" s="12">
        <v>42825</v>
      </c>
      <c r="D81" s="12">
        <v>43190</v>
      </c>
      <c r="E81" s="12">
        <v>43555</v>
      </c>
      <c r="F81" s="12">
        <v>43921</v>
      </c>
      <c r="G81" s="12">
        <v>44286</v>
      </c>
      <c r="H81" s="12">
        <v>44651</v>
      </c>
      <c r="I81" s="12">
        <v>45016</v>
      </c>
      <c r="J81" s="12">
        <v>45382</v>
      </c>
      <c r="K81" s="12">
        <v>45747</v>
      </c>
    </row>
    <row r="82" spans="1:11" s="1" customFormat="1" x14ac:dyDescent="0.35">
      <c r="A82" s="6" t="s">
        <v>32</v>
      </c>
      <c r="B82">
        <v>37899.54</v>
      </c>
      <c r="C82">
        <v>30199.25</v>
      </c>
      <c r="D82">
        <v>23857.42</v>
      </c>
      <c r="E82">
        <v>18890.75</v>
      </c>
      <c r="F82">
        <v>26632.94</v>
      </c>
      <c r="G82">
        <v>29000.51</v>
      </c>
      <c r="H82">
        <v>14282.83</v>
      </c>
      <c r="I82">
        <v>35388.01</v>
      </c>
      <c r="J82">
        <v>67915</v>
      </c>
      <c r="K82">
        <v>63102</v>
      </c>
    </row>
    <row r="83" spans="1:11" s="6" customFormat="1" x14ac:dyDescent="0.35">
      <c r="A83" s="6" t="s">
        <v>33</v>
      </c>
      <c r="B83">
        <v>-36693.9</v>
      </c>
      <c r="C83">
        <v>-39571.4</v>
      </c>
      <c r="D83">
        <v>-25139.14</v>
      </c>
      <c r="E83">
        <v>-20878.07</v>
      </c>
      <c r="F83">
        <v>-33114.550000000003</v>
      </c>
      <c r="G83">
        <v>-25672.5</v>
      </c>
      <c r="H83">
        <v>-4443.66</v>
      </c>
      <c r="I83">
        <v>-15417.17</v>
      </c>
      <c r="J83">
        <v>-22781</v>
      </c>
      <c r="K83">
        <v>-49982</v>
      </c>
    </row>
    <row r="84" spans="1:11" s="6" customFormat="1" x14ac:dyDescent="0.35">
      <c r="A84" s="6" t="s">
        <v>34</v>
      </c>
      <c r="B84">
        <v>-3795.12</v>
      </c>
      <c r="C84">
        <v>6205.3</v>
      </c>
      <c r="D84">
        <v>2011.71</v>
      </c>
      <c r="E84">
        <v>8830.3700000000008</v>
      </c>
      <c r="F84">
        <v>3389.61</v>
      </c>
      <c r="G84">
        <v>9904.2000000000007</v>
      </c>
      <c r="H84">
        <v>-3380.17</v>
      </c>
      <c r="I84">
        <v>-26242.9</v>
      </c>
      <c r="J84">
        <v>-37006</v>
      </c>
      <c r="K84">
        <v>-18786</v>
      </c>
    </row>
    <row r="85" spans="1:11" s="1" customFormat="1" x14ac:dyDescent="0.35">
      <c r="A85" s="6" t="s">
        <v>35</v>
      </c>
      <c r="B85">
        <v>-2589.48</v>
      </c>
      <c r="C85">
        <v>-3166.85</v>
      </c>
      <c r="D85">
        <v>729.99</v>
      </c>
      <c r="E85">
        <v>6843.05</v>
      </c>
      <c r="F85">
        <v>-3092</v>
      </c>
      <c r="G85">
        <v>13232.21</v>
      </c>
      <c r="H85">
        <v>6459</v>
      </c>
      <c r="I85">
        <v>-6272.06</v>
      </c>
      <c r="J85">
        <v>8128</v>
      </c>
      <c r="K85">
        <v>-5666</v>
      </c>
    </row>
    <row r="86" spans="1:11" x14ac:dyDescent="0.35">
      <c r="A86" s="6"/>
    </row>
    <row r="87" spans="1:11" x14ac:dyDescent="0.35">
      <c r="A87" s="6"/>
    </row>
    <row r="88" spans="1:11" x14ac:dyDescent="0.35">
      <c r="A88" s="6"/>
    </row>
    <row r="89" spans="1:11" x14ac:dyDescent="0.35">
      <c r="A89" s="6"/>
    </row>
    <row r="90" spans="1:11" s="1" customFormat="1" x14ac:dyDescent="0.35">
      <c r="A90" s="1" t="s">
        <v>68</v>
      </c>
      <c r="B90">
        <v>386.6</v>
      </c>
      <c r="C90">
        <v>465.85</v>
      </c>
      <c r="D90">
        <v>326.85000000000002</v>
      </c>
      <c r="E90">
        <v>174.25</v>
      </c>
      <c r="F90">
        <v>71.05</v>
      </c>
      <c r="G90">
        <v>301.8</v>
      </c>
      <c r="H90">
        <v>433.75</v>
      </c>
      <c r="I90">
        <v>420.8</v>
      </c>
      <c r="J90">
        <v>992.8</v>
      </c>
      <c r="K90">
        <v>674.45</v>
      </c>
    </row>
    <row r="92" spans="1:11" s="1" customFormat="1" x14ac:dyDescent="0.35">
      <c r="A92" s="1" t="s">
        <v>67</v>
      </c>
    </row>
    <row r="93" spans="1:11" x14ac:dyDescent="0.35">
      <c r="A93" s="4" t="s">
        <v>80</v>
      </c>
      <c r="B93" s="20">
        <v>288.72000000000003</v>
      </c>
      <c r="C93" s="20">
        <v>288.73</v>
      </c>
      <c r="D93" s="20">
        <v>288.73</v>
      </c>
      <c r="E93" s="20">
        <v>288.73</v>
      </c>
      <c r="F93" s="20">
        <v>308.89999999999998</v>
      </c>
      <c r="G93" s="20">
        <v>332.03</v>
      </c>
      <c r="H93" s="20">
        <v>332.07</v>
      </c>
      <c r="I93" s="20">
        <v>332.13</v>
      </c>
      <c r="J93" s="20">
        <v>332.37</v>
      </c>
      <c r="K93" s="20">
        <v>368.13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6671C-1F02-4A05-9D97-E977B52C2C10}">
  <sheetPr>
    <tabColor rgb="FF002060"/>
  </sheetPr>
  <dimension ref="A2:R107"/>
  <sheetViews>
    <sheetView showGridLines="0" workbookViewId="0">
      <pane ySplit="3" topLeftCell="A4" activePane="bottomLeft" state="frozen"/>
      <selection pane="bottomLeft" activeCell="L7" sqref="L7"/>
    </sheetView>
  </sheetViews>
  <sheetFormatPr defaultRowHeight="14.5" x14ac:dyDescent="0.35"/>
  <cols>
    <col min="1" max="1" width="3.26953125" customWidth="1"/>
    <col min="2" max="2" width="23.81640625" customWidth="1"/>
    <col min="3" max="7" width="12.81640625" bestFit="1" customWidth="1"/>
    <col min="8" max="8" width="14.54296875" customWidth="1"/>
    <col min="9" max="12" width="12.81640625" bestFit="1" customWidth="1"/>
    <col min="13" max="13" width="12.26953125" bestFit="1" customWidth="1"/>
  </cols>
  <sheetData>
    <row r="2" spans="1:18" s="38" customFormat="1" ht="19.5" customHeight="1" x14ac:dyDescent="0.45">
      <c r="B2" s="80" t="str">
        <f>"Historical Financial Statement - "&amp;'Data Sheet'!B1</f>
        <v>Historical Financial Statement - TATA MOTORS LTD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3" spans="1:18" x14ac:dyDescent="0.35">
      <c r="B3" s="22" t="s">
        <v>81</v>
      </c>
      <c r="C3" s="23">
        <f>'Data Sheet'!B16</f>
        <v>42460</v>
      </c>
      <c r="D3" s="23">
        <f>'Data Sheet'!C16</f>
        <v>42825</v>
      </c>
      <c r="E3" s="23">
        <f>'Data Sheet'!D16</f>
        <v>43190</v>
      </c>
      <c r="F3" s="23">
        <f>'Data Sheet'!E16</f>
        <v>43555</v>
      </c>
      <c r="G3" s="23">
        <f>'Data Sheet'!F16</f>
        <v>43921</v>
      </c>
      <c r="H3" s="23">
        <f>'Data Sheet'!G16</f>
        <v>44286</v>
      </c>
      <c r="I3" s="23">
        <f>'Data Sheet'!H16</f>
        <v>44651</v>
      </c>
      <c r="J3" s="23">
        <f>'Data Sheet'!I16</f>
        <v>45016</v>
      </c>
      <c r="K3" s="23">
        <f>'Data Sheet'!J16</f>
        <v>45382</v>
      </c>
      <c r="L3" s="23">
        <f>'Data Sheet'!K16</f>
        <v>45747</v>
      </c>
      <c r="M3" s="24" t="s">
        <v>82</v>
      </c>
      <c r="N3" s="21"/>
      <c r="O3" s="21"/>
      <c r="P3" s="21"/>
      <c r="Q3" s="21"/>
      <c r="R3" s="21"/>
    </row>
    <row r="4" spans="1:18" s="30" customFormat="1" x14ac:dyDescent="0.3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3"/>
      <c r="N4" s="34"/>
      <c r="O4" s="34"/>
      <c r="P4" s="34"/>
      <c r="Q4" s="34"/>
      <c r="R4" s="34"/>
    </row>
    <row r="5" spans="1:18" s="30" customFormat="1" x14ac:dyDescent="0.35">
      <c r="A5" s="30" t="s">
        <v>84</v>
      </c>
      <c r="B5" s="36" t="s">
        <v>83</v>
      </c>
      <c r="C5" s="36"/>
      <c r="D5" s="35"/>
      <c r="E5" s="35"/>
      <c r="F5" s="35"/>
      <c r="G5" s="35"/>
      <c r="H5" s="35"/>
      <c r="I5" s="35"/>
      <c r="J5" s="35"/>
      <c r="K5" s="35"/>
      <c r="L5" s="35"/>
      <c r="M5" s="35"/>
    </row>
    <row r="6" spans="1:18" x14ac:dyDescent="0.35">
      <c r="B6" t="s">
        <v>6</v>
      </c>
      <c r="C6" s="25">
        <f>IFERROR('Data Sheet'!B17,0)</f>
        <v>273045.59999999998</v>
      </c>
      <c r="D6" s="25">
        <f>IFERROR('Data Sheet'!C17,0)</f>
        <v>269692.51</v>
      </c>
      <c r="E6" s="25">
        <f>IFERROR('Data Sheet'!D17,0)</f>
        <v>291550.48</v>
      </c>
      <c r="F6" s="25">
        <f>IFERROR('Data Sheet'!E17,0)</f>
        <v>301938.40000000002</v>
      </c>
      <c r="G6" s="25">
        <f>IFERROR('Data Sheet'!F17,0)</f>
        <v>261067.97</v>
      </c>
      <c r="H6" s="25">
        <f>IFERROR('Data Sheet'!G17,0)</f>
        <v>249794.75</v>
      </c>
      <c r="I6" s="25">
        <f>IFERROR('Data Sheet'!H17,0)</f>
        <v>278453.62</v>
      </c>
      <c r="J6" s="25">
        <f>IFERROR('Data Sheet'!I17,0)</f>
        <v>345966.97</v>
      </c>
      <c r="K6" s="25">
        <f>IFERROR('Data Sheet'!J17,0)</f>
        <v>434016</v>
      </c>
      <c r="L6" s="25">
        <f>IFERROR('Data Sheet'!K17,0)</f>
        <v>439695</v>
      </c>
      <c r="M6" s="25">
        <f>IFERROR(SUM('Data Sheet'!H42:K42),0)</f>
        <v>441609</v>
      </c>
    </row>
    <row r="7" spans="1:18" x14ac:dyDescent="0.35">
      <c r="B7" s="26" t="s">
        <v>22</v>
      </c>
      <c r="C7" s="29" t="s">
        <v>85</v>
      </c>
      <c r="D7" s="27">
        <f>D6/C6-1</f>
        <v>-1.2280329732469508E-2</v>
      </c>
      <c r="E7" s="27">
        <f t="shared" ref="E7:M7" si="0">E6/D6-1</f>
        <v>8.104774581985974E-2</v>
      </c>
      <c r="F7" s="27">
        <f t="shared" si="0"/>
        <v>3.5629919045237157E-2</v>
      </c>
      <c r="G7" s="27">
        <f t="shared" si="0"/>
        <v>-0.135360159555724</v>
      </c>
      <c r="H7" s="27">
        <f t="shared" si="0"/>
        <v>-4.3181168490336042E-2</v>
      </c>
      <c r="I7" s="27">
        <f t="shared" si="0"/>
        <v>0.11472967306158344</v>
      </c>
      <c r="J7" s="27">
        <f t="shared" si="0"/>
        <v>0.24245815155859707</v>
      </c>
      <c r="K7" s="27">
        <f t="shared" si="0"/>
        <v>0.25450126062612277</v>
      </c>
      <c r="L7" s="27">
        <f t="shared" si="0"/>
        <v>1.3084771068347711E-2</v>
      </c>
      <c r="M7" s="27">
        <f t="shared" si="0"/>
        <v>4.3530174325385751E-3</v>
      </c>
    </row>
    <row r="9" spans="1:18" x14ac:dyDescent="0.35">
      <c r="B9" t="s">
        <v>86</v>
      </c>
      <c r="C9" s="25">
        <f>IFERROR(SUM('Data Sheet'!C18,'Data Sheet'!C20:C22)-1*'Data Sheet'!C19,0)</f>
        <v>205454.23999999996</v>
      </c>
      <c r="D9" s="25">
        <f>IFERROR(SUM('Data Sheet'!D18,'Data Sheet'!D20:D22)-1*'Data Sheet'!D19,0)</f>
        <v>228429.83</v>
      </c>
      <c r="E9" s="25">
        <f>IFERROR(SUM('Data Sheet'!E18,'Data Sheet'!E20:E22)-1*'Data Sheet'!E19,0)</f>
        <v>242845.53</v>
      </c>
      <c r="F9" s="25">
        <f>IFERROR(SUM('Data Sheet'!F18,'Data Sheet'!F20:F22)-1*'Data Sheet'!F19,0)</f>
        <v>210376.07000000004</v>
      </c>
      <c r="G9" s="25">
        <f>IFERROR(SUM('Data Sheet'!G18,'Data Sheet'!G20:G22)-1*'Data Sheet'!G19,0)</f>
        <v>195326.04</v>
      </c>
      <c r="H9" s="25">
        <f>IFERROR(SUM('Data Sheet'!H18,'Data Sheet'!H20:H22)-1*'Data Sheet'!H19,0)</f>
        <v>223300.00999999998</v>
      </c>
      <c r="I9" s="25">
        <f>IFERROR(SUM('Data Sheet'!I18,'Data Sheet'!I20:I22)-1*'Data Sheet'!I19,0)</f>
        <v>274403.64</v>
      </c>
      <c r="J9" s="25">
        <f>IFERROR(SUM('Data Sheet'!J18,'Data Sheet'!J20:J22)-1*'Data Sheet'!J19,0)</f>
        <v>334380</v>
      </c>
      <c r="K9" s="25">
        <f>IFERROR(SUM('Data Sheet'!K18,'Data Sheet'!K20:K22)-1*'Data Sheet'!K19,0)</f>
        <v>340809</v>
      </c>
      <c r="L9" s="25">
        <f>IFERROR(SUM('Data Sheet'!L18,'Data Sheet'!L20:L22)-1*'Data Sheet'!L19,0)</f>
        <v>0</v>
      </c>
      <c r="M9" s="25">
        <f>IFERROR(SUM('Data Sheet'!H43:K43),0)</f>
        <v>384424</v>
      </c>
    </row>
    <row r="10" spans="1:18" x14ac:dyDescent="0.35">
      <c r="B10" s="28" t="s">
        <v>87</v>
      </c>
      <c r="C10" s="27">
        <f>C9/C6</f>
        <v>0.75245394908396246</v>
      </c>
      <c r="D10" s="27">
        <f t="shared" ref="D10:L10" si="1">D9/D6</f>
        <v>0.84700101608309397</v>
      </c>
      <c r="E10" s="27">
        <f t="shared" si="1"/>
        <v>0.83294505294589127</v>
      </c>
      <c r="F10" s="27">
        <f t="shared" si="1"/>
        <v>0.69675162218518749</v>
      </c>
      <c r="G10" s="27">
        <f t="shared" si="1"/>
        <v>0.74818078985330916</v>
      </c>
      <c r="H10" s="27">
        <f t="shared" si="1"/>
        <v>0.89393395978098011</v>
      </c>
      <c r="I10" s="27">
        <f t="shared" si="1"/>
        <v>0.98545545933286849</v>
      </c>
      <c r="J10" s="27">
        <f t="shared" si="1"/>
        <v>0.96650845021419252</v>
      </c>
      <c r="K10" s="27">
        <f t="shared" si="1"/>
        <v>0.78524524441495247</v>
      </c>
      <c r="L10" s="27">
        <f t="shared" si="1"/>
        <v>0</v>
      </c>
      <c r="M10" s="27">
        <f>M9/M6</f>
        <v>0.87050762099504309</v>
      </c>
    </row>
    <row r="12" spans="1:18" x14ac:dyDescent="0.35">
      <c r="B12" s="43" t="s">
        <v>88</v>
      </c>
      <c r="C12" s="44">
        <f t="shared" ref="C12:M12" si="2">C6-C9</f>
        <v>67591.360000000015</v>
      </c>
      <c r="D12" s="44">
        <f t="shared" si="2"/>
        <v>41262.680000000022</v>
      </c>
      <c r="E12" s="44">
        <f t="shared" si="2"/>
        <v>48704.949999999983</v>
      </c>
      <c r="F12" s="44">
        <f t="shared" si="2"/>
        <v>91562.329999999987</v>
      </c>
      <c r="G12" s="44">
        <f t="shared" si="2"/>
        <v>65741.929999999993</v>
      </c>
      <c r="H12" s="44">
        <f t="shared" si="2"/>
        <v>26494.74000000002</v>
      </c>
      <c r="I12" s="44">
        <f t="shared" si="2"/>
        <v>4049.9799999999814</v>
      </c>
      <c r="J12" s="44">
        <f t="shared" si="2"/>
        <v>11586.969999999972</v>
      </c>
      <c r="K12" s="44">
        <f t="shared" si="2"/>
        <v>93207</v>
      </c>
      <c r="L12" s="44">
        <f t="shared" si="2"/>
        <v>439695</v>
      </c>
      <c r="M12" s="44">
        <f t="shared" si="2"/>
        <v>57185</v>
      </c>
    </row>
    <row r="13" spans="1:18" x14ac:dyDescent="0.35">
      <c r="B13" s="28" t="s">
        <v>152</v>
      </c>
      <c r="C13" s="27">
        <f>C12/C6</f>
        <v>0.24754605091603754</v>
      </c>
      <c r="D13" s="27">
        <f t="shared" ref="D13:M13" si="3">D12/D6</f>
        <v>0.15299898391690603</v>
      </c>
      <c r="E13" s="27">
        <f t="shared" si="3"/>
        <v>0.16705494705410873</v>
      </c>
      <c r="F13" s="28">
        <f t="shared" si="3"/>
        <v>0.30324837781481251</v>
      </c>
      <c r="G13" s="27">
        <f t="shared" si="3"/>
        <v>0.2518192101466909</v>
      </c>
      <c r="H13" s="27">
        <f t="shared" si="3"/>
        <v>0.1060660402190199</v>
      </c>
      <c r="I13" s="27">
        <f t="shared" si="3"/>
        <v>1.4544540667131501E-2</v>
      </c>
      <c r="J13" s="28">
        <f t="shared" si="3"/>
        <v>3.3491549785807512E-2</v>
      </c>
      <c r="K13" s="27">
        <f t="shared" si="3"/>
        <v>0.21475475558504756</v>
      </c>
      <c r="L13" s="27">
        <f t="shared" si="3"/>
        <v>1</v>
      </c>
      <c r="M13" s="27">
        <f t="shared" si="3"/>
        <v>0.12949237900495689</v>
      </c>
    </row>
    <row r="15" spans="1:18" x14ac:dyDescent="0.35">
      <c r="B15" t="s">
        <v>89</v>
      </c>
      <c r="C15" s="25">
        <f>IFERROR(SUM('Data Sheet'!B23:B24),0)</f>
        <v>29141.280000000002</v>
      </c>
      <c r="D15" s="25">
        <f>IFERROR(SUM('Data Sheet'!C23:C24),0)</f>
        <v>34649.58</v>
      </c>
      <c r="E15" s="25">
        <f>IFERROR(SUM('Data Sheet'!D23:D24),0)</f>
        <v>31662.97</v>
      </c>
      <c r="F15" s="25">
        <f>IFERROR(SUM('Data Sheet'!E23:E24),0)</f>
        <v>34428.54</v>
      </c>
      <c r="G15" s="25">
        <f>IFERROR(SUM('Data Sheet'!F23:F24),0)</f>
        <v>32704.83</v>
      </c>
      <c r="H15" s="25">
        <f>IFERROR(SUM('Data Sheet'!G23:G24),0)</f>
        <v>22181.280000000002</v>
      </c>
      <c r="I15" s="25">
        <f>IFERROR(SUM('Data Sheet'!H23:H24),0)</f>
        <v>30433.52</v>
      </c>
      <c r="J15" s="25">
        <f>IFERROR(SUM('Data Sheet'!I23:I24),0)</f>
        <v>39747.53</v>
      </c>
      <c r="K15" s="25">
        <f>IFERROR(SUM('Data Sheet'!J23:J24),0)</f>
        <v>41812</v>
      </c>
      <c r="L15" s="25">
        <f>IFERROR(SUM('Data Sheet'!K23:K24),0)</f>
        <v>43670</v>
      </c>
      <c r="M15" s="25">
        <f>IFERROR(SUM('Data Sheet'!L23:L24),0)</f>
        <v>0</v>
      </c>
    </row>
    <row r="16" spans="1:18" x14ac:dyDescent="0.35">
      <c r="B16" s="26" t="s">
        <v>89</v>
      </c>
      <c r="C16" s="27">
        <f t="shared" ref="C16:M16" si="4">C15/C6</f>
        <v>0.10672678849247161</v>
      </c>
      <c r="D16" s="27">
        <f t="shared" si="4"/>
        <v>0.12847809529452636</v>
      </c>
      <c r="E16" s="27">
        <f t="shared" si="4"/>
        <v>0.10860201636437025</v>
      </c>
      <c r="F16" s="27">
        <f t="shared" si="4"/>
        <v>0.11402504616835751</v>
      </c>
      <c r="G16" s="27">
        <f t="shared" si="4"/>
        <v>0.12527323822987554</v>
      </c>
      <c r="H16" s="27">
        <f t="shared" si="4"/>
        <v>8.8798023177028354E-2</v>
      </c>
      <c r="I16" s="27">
        <f t="shared" si="4"/>
        <v>0.10929475436519734</v>
      </c>
      <c r="J16" s="27">
        <f t="shared" si="4"/>
        <v>0.11488822184383672</v>
      </c>
      <c r="K16" s="27">
        <f t="shared" si="4"/>
        <v>9.6337462213374622E-2</v>
      </c>
      <c r="L16" s="27">
        <f t="shared" si="4"/>
        <v>9.9318846018262658E-2</v>
      </c>
      <c r="M16" s="27">
        <f t="shared" si="4"/>
        <v>0</v>
      </c>
    </row>
    <row r="18" spans="2:13" x14ac:dyDescent="0.35">
      <c r="B18" s="43" t="s">
        <v>90</v>
      </c>
      <c r="C18" s="44">
        <f>C12-C15</f>
        <v>38450.080000000016</v>
      </c>
      <c r="D18" s="44">
        <f t="shared" ref="D18:M18" si="5">D12-D15</f>
        <v>6613.1000000000204</v>
      </c>
      <c r="E18" s="44">
        <f t="shared" si="5"/>
        <v>17041.979999999981</v>
      </c>
      <c r="F18" s="44">
        <f t="shared" si="5"/>
        <v>57133.789999999986</v>
      </c>
      <c r="G18" s="44">
        <f t="shared" si="5"/>
        <v>33037.099999999991</v>
      </c>
      <c r="H18" s="44">
        <f t="shared" si="5"/>
        <v>4313.4600000000173</v>
      </c>
      <c r="I18" s="44">
        <f t="shared" si="5"/>
        <v>-26383.540000000019</v>
      </c>
      <c r="J18" s="44">
        <f t="shared" si="5"/>
        <v>-28160.560000000027</v>
      </c>
      <c r="K18" s="44">
        <f t="shared" si="5"/>
        <v>51395</v>
      </c>
      <c r="L18" s="44">
        <f t="shared" si="5"/>
        <v>396025</v>
      </c>
      <c r="M18" s="44">
        <f t="shared" si="5"/>
        <v>57185</v>
      </c>
    </row>
    <row r="19" spans="2:13" x14ac:dyDescent="0.35">
      <c r="B19" s="26" t="s">
        <v>156</v>
      </c>
      <c r="C19" s="27">
        <f t="shared" ref="C19:M19" si="6">C18/C6</f>
        <v>0.14081926242356596</v>
      </c>
      <c r="D19" s="27">
        <f t="shared" si="6"/>
        <v>2.4520888622379687E-2</v>
      </c>
      <c r="E19" s="27">
        <f t="shared" si="6"/>
        <v>5.8452930689738475E-2</v>
      </c>
      <c r="F19" s="27">
        <f t="shared" si="6"/>
        <v>0.18922333164645497</v>
      </c>
      <c r="G19" s="27">
        <f t="shared" si="6"/>
        <v>0.12654597191681535</v>
      </c>
      <c r="H19" s="27">
        <f t="shared" si="6"/>
        <v>1.7268017041991546E-2</v>
      </c>
      <c r="I19" s="27">
        <f t="shared" si="6"/>
        <v>-9.4750213698065841E-2</v>
      </c>
      <c r="J19" s="27">
        <f t="shared" si="6"/>
        <v>-8.139667205802921E-2</v>
      </c>
      <c r="K19" s="27">
        <f t="shared" si="6"/>
        <v>0.11841729337167294</v>
      </c>
      <c r="L19" s="27">
        <f t="shared" si="6"/>
        <v>0.90068115398173731</v>
      </c>
      <c r="M19" s="27">
        <f t="shared" si="6"/>
        <v>0.12949237900495689</v>
      </c>
    </row>
    <row r="21" spans="2:13" x14ac:dyDescent="0.35">
      <c r="B21" t="s">
        <v>11</v>
      </c>
      <c r="C21" s="25">
        <f>IFERROR(('Data Sheet'!B27),0)</f>
        <v>4889.08</v>
      </c>
      <c r="D21" s="25">
        <f>IFERROR(('Data Sheet'!C27),0)</f>
        <v>4238.01</v>
      </c>
      <c r="E21" s="25">
        <f>IFERROR(('Data Sheet'!D27),0)</f>
        <v>4681.79</v>
      </c>
      <c r="F21" s="25">
        <f>IFERROR(('Data Sheet'!E27),0)</f>
        <v>5758.6</v>
      </c>
      <c r="G21" s="25">
        <f>IFERROR(('Data Sheet'!F27),0)</f>
        <v>7243.33</v>
      </c>
      <c r="H21" s="25">
        <f>IFERROR(('Data Sheet'!G27),0)</f>
        <v>8097.17</v>
      </c>
      <c r="I21" s="25">
        <f>IFERROR(('Data Sheet'!H27),0)</f>
        <v>9311.86</v>
      </c>
      <c r="J21" s="25">
        <f>IFERROR(('Data Sheet'!I27),0)</f>
        <v>10225.48</v>
      </c>
      <c r="K21" s="25">
        <f>IFERROR(('Data Sheet'!J27),0)</f>
        <v>7594</v>
      </c>
      <c r="L21" s="25">
        <f>IFERROR(('Data Sheet'!K27),0)</f>
        <v>5083</v>
      </c>
      <c r="M21" s="25">
        <f>IFERROR(SUM('Data Sheet'!H46:K46),0)</f>
        <v>6317</v>
      </c>
    </row>
    <row r="22" spans="2:13" x14ac:dyDescent="0.35">
      <c r="B22" s="26" t="s">
        <v>91</v>
      </c>
      <c r="C22" s="27">
        <f t="shared" ref="C22:M22" si="7">C21/C6</f>
        <v>1.7905727101993223E-2</v>
      </c>
      <c r="D22" s="27">
        <f t="shared" si="7"/>
        <v>1.5714229512714312E-2</v>
      </c>
      <c r="E22" s="27">
        <f t="shared" si="7"/>
        <v>1.605824830060304E-2</v>
      </c>
      <c r="F22" s="27">
        <f t="shared" si="7"/>
        <v>1.9072102124141878E-2</v>
      </c>
      <c r="G22" s="27">
        <f t="shared" si="7"/>
        <v>2.7744996829752802E-2</v>
      </c>
      <c r="H22" s="27">
        <f t="shared" si="7"/>
        <v>3.2415292955516477E-2</v>
      </c>
      <c r="I22" s="27">
        <f t="shared" si="7"/>
        <v>3.3441332168710897E-2</v>
      </c>
      <c r="J22" s="27">
        <f t="shared" si="7"/>
        <v>2.9556231914277829E-2</v>
      </c>
      <c r="K22" s="27">
        <f t="shared" si="7"/>
        <v>1.7497050799970507E-2</v>
      </c>
      <c r="L22" s="27">
        <f t="shared" si="7"/>
        <v>1.1560286107415368E-2</v>
      </c>
      <c r="M22" s="27">
        <f t="shared" si="7"/>
        <v>1.4304509192520985E-2</v>
      </c>
    </row>
    <row r="24" spans="2:13" x14ac:dyDescent="0.35">
      <c r="B24" t="s">
        <v>92</v>
      </c>
      <c r="C24" s="25">
        <f>IFERROR('Data Sheet'!B45,0)</f>
        <v>6071.78</v>
      </c>
      <c r="D24" s="25">
        <f>IFERROR('Data Sheet'!C45,0)</f>
        <v>7050.2</v>
      </c>
      <c r="E24" s="25">
        <f>IFERROR('Data Sheet'!D45,0)</f>
        <v>6633</v>
      </c>
      <c r="F24" s="25">
        <f>IFERROR('Data Sheet'!E45,0)</f>
        <v>6637</v>
      </c>
      <c r="G24" s="25">
        <f>IFERROR('Data Sheet'!F45,0)</f>
        <v>6850</v>
      </c>
      <c r="H24" s="25">
        <f>IFERROR('Data Sheet'!G45,0)</f>
        <v>7143</v>
      </c>
      <c r="I24" s="25">
        <f>IFERROR('Data Sheet'!H45,0)</f>
        <v>6574</v>
      </c>
      <c r="J24" s="25">
        <f>IFERROR('Data Sheet'!I45,0)</f>
        <v>6005</v>
      </c>
      <c r="K24" s="25">
        <f>IFERROR('Data Sheet'!J45,0)</f>
        <v>5399</v>
      </c>
      <c r="L24" s="25">
        <f>IFERROR('Data Sheet'!K45,0)</f>
        <v>5295</v>
      </c>
      <c r="M24" s="25">
        <f>IFERROR(SUM('Data Sheet'!H45:K45),0)</f>
        <v>23273</v>
      </c>
    </row>
    <row r="25" spans="2:13" x14ac:dyDescent="0.35">
      <c r="B25" s="26" t="s">
        <v>93</v>
      </c>
      <c r="C25" s="27">
        <f t="shared" ref="C25:M25" si="8">C24/C6</f>
        <v>2.2237238029105762E-2</v>
      </c>
      <c r="D25" s="27">
        <f t="shared" si="8"/>
        <v>2.6141623287943738E-2</v>
      </c>
      <c r="E25" s="27">
        <f t="shared" si="8"/>
        <v>2.2750777155297431E-2</v>
      </c>
      <c r="F25" s="27">
        <f t="shared" si="8"/>
        <v>2.1981304795945133E-2</v>
      </c>
      <c r="G25" s="27">
        <f t="shared" si="8"/>
        <v>2.6238377691449471E-2</v>
      </c>
      <c r="H25" s="27">
        <f t="shared" si="8"/>
        <v>2.8595476886523835E-2</v>
      </c>
      <c r="I25" s="27">
        <f t="shared" si="8"/>
        <v>2.360895864812244E-2</v>
      </c>
      <c r="J25" s="27">
        <f t="shared" si="8"/>
        <v>1.7357148284993799E-2</v>
      </c>
      <c r="K25" s="27">
        <f t="shared" si="8"/>
        <v>1.2439633561896335E-2</v>
      </c>
      <c r="L25" s="27">
        <f t="shared" si="8"/>
        <v>1.2042438508511583E-2</v>
      </c>
      <c r="M25" s="27">
        <f t="shared" si="8"/>
        <v>5.2700465796666283E-2</v>
      </c>
    </row>
    <row r="26" spans="2:13" x14ac:dyDescent="0.35">
      <c r="C26" s="27"/>
    </row>
    <row r="27" spans="2:13" x14ac:dyDescent="0.35">
      <c r="B27" s="43" t="s">
        <v>94</v>
      </c>
      <c r="C27" s="44">
        <f>C18-SUM(C21,C24)</f>
        <v>27489.220000000016</v>
      </c>
      <c r="D27" s="44">
        <f t="shared" ref="D27:M27" si="9">D18-SUM(D21,D24)</f>
        <v>-4675.1099999999788</v>
      </c>
      <c r="E27" s="44">
        <f t="shared" si="9"/>
        <v>5727.1899999999805</v>
      </c>
      <c r="F27" s="44">
        <f t="shared" si="9"/>
        <v>44738.189999999988</v>
      </c>
      <c r="G27" s="44">
        <f t="shared" si="9"/>
        <v>18943.76999999999</v>
      </c>
      <c r="H27" s="44">
        <f t="shared" si="9"/>
        <v>-10926.709999999983</v>
      </c>
      <c r="I27" s="44">
        <f t="shared" si="9"/>
        <v>-42269.400000000023</v>
      </c>
      <c r="J27" s="44">
        <f t="shared" si="9"/>
        <v>-44391.040000000023</v>
      </c>
      <c r="K27" s="44">
        <f t="shared" si="9"/>
        <v>38402</v>
      </c>
      <c r="L27" s="44">
        <f t="shared" si="9"/>
        <v>385647</v>
      </c>
      <c r="M27" s="44">
        <f t="shared" si="9"/>
        <v>27595</v>
      </c>
    </row>
    <row r="28" spans="2:13" x14ac:dyDescent="0.35">
      <c r="B28" s="26" t="s">
        <v>95</v>
      </c>
      <c r="C28" s="27">
        <f t="shared" ref="C28:M28" si="10">C27/C6</f>
        <v>0.10067629729246697</v>
      </c>
      <c r="D28" s="27">
        <f t="shared" si="10"/>
        <v>-1.7334964178278362E-2</v>
      </c>
      <c r="E28" s="27">
        <f t="shared" si="10"/>
        <v>1.9643905233838001E-2</v>
      </c>
      <c r="F28" s="27">
        <f t="shared" si="10"/>
        <v>0.14816992472636797</v>
      </c>
      <c r="G28" s="27">
        <f t="shared" si="10"/>
        <v>7.2562597395613063E-2</v>
      </c>
      <c r="H28" s="27">
        <f t="shared" si="10"/>
        <v>-4.3742752800048773E-2</v>
      </c>
      <c r="I28" s="27">
        <f t="shared" si="10"/>
        <v>-0.15180050451489918</v>
      </c>
      <c r="J28" s="27">
        <f t="shared" si="10"/>
        <v>-0.12831005225730083</v>
      </c>
      <c r="K28" s="27">
        <f t="shared" si="10"/>
        <v>8.8480609009806088E-2</v>
      </c>
      <c r="L28" s="27">
        <f t="shared" si="10"/>
        <v>0.87707842936581037</v>
      </c>
      <c r="M28" s="27">
        <f t="shared" si="10"/>
        <v>6.2487404015769604E-2</v>
      </c>
    </row>
    <row r="30" spans="2:13" x14ac:dyDescent="0.35">
      <c r="B30" t="s">
        <v>13</v>
      </c>
      <c r="C30" s="25">
        <f>IFERROR('Data Sheet'!B29,0)</f>
        <v>3025.05</v>
      </c>
      <c r="D30" s="25">
        <f>IFERROR('Data Sheet'!C29,0)</f>
        <v>3251.23</v>
      </c>
      <c r="E30" s="25">
        <f>IFERROR('Data Sheet'!D29,0)</f>
        <v>4341.93</v>
      </c>
      <c r="F30" s="25">
        <f>IFERROR('Data Sheet'!E29,0)</f>
        <v>-2437.4499999999998</v>
      </c>
      <c r="G30" s="25">
        <f>IFERROR('Data Sheet'!F29,0)</f>
        <v>395.25</v>
      </c>
      <c r="H30" s="25">
        <f>IFERROR('Data Sheet'!G29,0)</f>
        <v>2541.86</v>
      </c>
      <c r="I30" s="25">
        <f>IFERROR('Data Sheet'!H29,0)</f>
        <v>4231.29</v>
      </c>
      <c r="J30" s="25">
        <f>IFERROR('Data Sheet'!I29,0)</f>
        <v>704.06</v>
      </c>
      <c r="K30" s="25">
        <f>IFERROR('Data Sheet'!J29,0)</f>
        <v>-4024</v>
      </c>
      <c r="L30" s="25">
        <f>IFERROR('Data Sheet'!K29,0)</f>
        <v>10502</v>
      </c>
      <c r="M30" s="25">
        <f>IFERROR(SUM('Data Sheet'!H48:K48),0)</f>
        <v>10563</v>
      </c>
    </row>
    <row r="31" spans="2:13" x14ac:dyDescent="0.35">
      <c r="B31" s="26" t="s">
        <v>96</v>
      </c>
      <c r="C31" s="27">
        <f>C30/C27</f>
        <v>0.11004495580449349</v>
      </c>
      <c r="D31" s="27">
        <f t="shared" ref="D31:M31" si="11">D30/D27</f>
        <v>-0.69543390422899454</v>
      </c>
      <c r="E31" s="27">
        <f t="shared" si="11"/>
        <v>0.75812571260950223</v>
      </c>
      <c r="F31" s="27">
        <f t="shared" si="11"/>
        <v>-5.4482534943858935E-2</v>
      </c>
      <c r="G31" s="27">
        <f t="shared" si="11"/>
        <v>2.0864379160008818E-2</v>
      </c>
      <c r="H31" s="27">
        <f t="shared" si="11"/>
        <v>-0.23262811953460868</v>
      </c>
      <c r="I31" s="27">
        <f t="shared" si="11"/>
        <v>-0.10010291132592367</v>
      </c>
      <c r="J31" s="27">
        <f t="shared" si="11"/>
        <v>-1.5860407866091886E-2</v>
      </c>
      <c r="K31" s="27">
        <f t="shared" si="11"/>
        <v>-0.1047862090516119</v>
      </c>
      <c r="L31" s="27">
        <f t="shared" si="11"/>
        <v>2.7232157906064355E-2</v>
      </c>
      <c r="M31" s="27">
        <f t="shared" si="11"/>
        <v>0.38278673672766805</v>
      </c>
    </row>
    <row r="33" spans="1:13" x14ac:dyDescent="0.35">
      <c r="B33" s="43" t="s">
        <v>97</v>
      </c>
      <c r="C33" s="44">
        <f>IFERROR(C27-C30,0)</f>
        <v>24464.170000000016</v>
      </c>
      <c r="D33" s="44">
        <f t="shared" ref="D33:M33" si="12">IFERROR(D27-D30,0)</f>
        <v>-7926.3399999999783</v>
      </c>
      <c r="E33" s="44">
        <f t="shared" si="12"/>
        <v>1385.2599999999802</v>
      </c>
      <c r="F33" s="44">
        <f t="shared" si="12"/>
        <v>47175.639999999985</v>
      </c>
      <c r="G33" s="44">
        <f t="shared" si="12"/>
        <v>18548.51999999999</v>
      </c>
      <c r="H33" s="44">
        <f t="shared" si="12"/>
        <v>-13468.569999999983</v>
      </c>
      <c r="I33" s="44">
        <f t="shared" si="12"/>
        <v>-46500.690000000024</v>
      </c>
      <c r="J33" s="44">
        <f t="shared" si="12"/>
        <v>-45095.10000000002</v>
      </c>
      <c r="K33" s="44">
        <f t="shared" si="12"/>
        <v>42426</v>
      </c>
      <c r="L33" s="44">
        <f t="shared" si="12"/>
        <v>375145</v>
      </c>
      <c r="M33" s="44">
        <f t="shared" si="12"/>
        <v>17032</v>
      </c>
    </row>
    <row r="34" spans="1:13" x14ac:dyDescent="0.35">
      <c r="B34" s="26" t="s">
        <v>98</v>
      </c>
      <c r="C34" s="27">
        <f t="shared" ref="C34:M34" si="13">C33/C6</f>
        <v>8.95973786063574E-2</v>
      </c>
      <c r="D34" s="27">
        <f t="shared" si="13"/>
        <v>-2.9390285996448245E-2</v>
      </c>
      <c r="E34" s="27">
        <f t="shared" si="13"/>
        <v>4.7513555800010356E-3</v>
      </c>
      <c r="F34" s="27">
        <f t="shared" si="13"/>
        <v>0.15624259782790126</v>
      </c>
      <c r="G34" s="27">
        <f t="shared" si="13"/>
        <v>7.104862385071592E-2</v>
      </c>
      <c r="H34" s="27">
        <f t="shared" si="13"/>
        <v>-5.3918547127191359E-2</v>
      </c>
      <c r="I34" s="27">
        <f t="shared" si="13"/>
        <v>-0.16699617695758462</v>
      </c>
      <c r="J34" s="27">
        <f t="shared" si="13"/>
        <v>-0.13034510201942118</v>
      </c>
      <c r="K34" s="27">
        <f t="shared" si="13"/>
        <v>9.7752156602521567E-2</v>
      </c>
      <c r="L34" s="27">
        <f t="shared" si="13"/>
        <v>0.85319369108131771</v>
      </c>
      <c r="M34" s="27">
        <f t="shared" si="13"/>
        <v>3.8568054545989779E-2</v>
      </c>
    </row>
    <row r="36" spans="1:13" x14ac:dyDescent="0.35">
      <c r="B36" t="s">
        <v>99</v>
      </c>
      <c r="C36" s="25">
        <f>IFERROR('Data Sheet'!B93,0)</f>
        <v>288.72000000000003</v>
      </c>
      <c r="D36" s="25">
        <f>IFERROR('Data Sheet'!C93,0)</f>
        <v>288.73</v>
      </c>
      <c r="E36" s="25">
        <f>IFERROR('Data Sheet'!D93,0)</f>
        <v>288.73</v>
      </c>
      <c r="F36" s="25">
        <f>IFERROR('Data Sheet'!E93,0)</f>
        <v>288.73</v>
      </c>
      <c r="G36" s="25">
        <f>IFERROR('Data Sheet'!F93,0)</f>
        <v>308.89999999999998</v>
      </c>
      <c r="H36" s="25">
        <f>IFERROR('Data Sheet'!G93,0)</f>
        <v>332.03</v>
      </c>
      <c r="I36" s="25">
        <f>IFERROR('Data Sheet'!H93,0)</f>
        <v>332.07</v>
      </c>
      <c r="J36" s="25">
        <f>IFERROR('Data Sheet'!I93,0)</f>
        <v>332.13</v>
      </c>
      <c r="K36" s="25">
        <f>IFERROR('Data Sheet'!J93,0)</f>
        <v>332.37</v>
      </c>
      <c r="L36" s="25">
        <f>IFERROR('Data Sheet'!K93,0)</f>
        <v>368.13</v>
      </c>
      <c r="M36" s="25">
        <f>L36</f>
        <v>368.13</v>
      </c>
    </row>
    <row r="38" spans="1:13" x14ac:dyDescent="0.35">
      <c r="B38" t="s">
        <v>100</v>
      </c>
      <c r="C38" s="25">
        <f>IFERROR(C33/C36,0)</f>
        <v>84.733201717927457</v>
      </c>
      <c r="D38" s="25">
        <f t="shared" ref="D38:M38" si="14">IFERROR(D33/D36,0)</f>
        <v>-27.452429605513725</v>
      </c>
      <c r="E38" s="25">
        <f t="shared" si="14"/>
        <v>4.7977695424790641</v>
      </c>
      <c r="F38" s="25">
        <f t="shared" si="14"/>
        <v>163.39015689398394</v>
      </c>
      <c r="G38" s="25">
        <f t="shared" si="14"/>
        <v>60.047005503399127</v>
      </c>
      <c r="H38" s="25">
        <f t="shared" si="14"/>
        <v>-40.564316477426694</v>
      </c>
      <c r="I38" s="25">
        <f t="shared" si="14"/>
        <v>-140.03279429036053</v>
      </c>
      <c r="J38" s="25">
        <f t="shared" si="14"/>
        <v>-135.77544937223382</v>
      </c>
      <c r="K38" s="25">
        <f t="shared" si="14"/>
        <v>127.64689953966965</v>
      </c>
      <c r="L38" s="25">
        <f t="shared" si="14"/>
        <v>1019.0557683427051</v>
      </c>
      <c r="M38" s="25">
        <f t="shared" si="14"/>
        <v>46.266264634775759</v>
      </c>
    </row>
    <row r="39" spans="1:13" x14ac:dyDescent="0.35">
      <c r="B39" s="26" t="s">
        <v>101</v>
      </c>
      <c r="D39" s="27">
        <f>IFERROR(D38/C38,0)</f>
        <v>-0.32398669056436075</v>
      </c>
      <c r="E39" s="27">
        <f t="shared" ref="E39:M39" si="15">IFERROR(E38/D38,0)</f>
        <v>-0.17476666405932423</v>
      </c>
      <c r="F39" s="27">
        <f t="shared" si="15"/>
        <v>34.055440855868689</v>
      </c>
      <c r="G39" s="27">
        <f t="shared" si="15"/>
        <v>0.3675068721695442</v>
      </c>
      <c r="H39" s="27">
        <f t="shared" si="15"/>
        <v>-0.67554270420912887</v>
      </c>
      <c r="I39" s="27">
        <f t="shared" si="15"/>
        <v>3.4521176849679258</v>
      </c>
      <c r="J39" s="27">
        <f t="shared" si="15"/>
        <v>0.96959751506994118</v>
      </c>
      <c r="K39" s="27">
        <f t="shared" si="15"/>
        <v>-0.94013240338995729</v>
      </c>
      <c r="L39" s="27">
        <f t="shared" si="15"/>
        <v>7.9833961656546659</v>
      </c>
      <c r="M39" s="27">
        <f t="shared" si="15"/>
        <v>4.5401111570192859E-2</v>
      </c>
    </row>
    <row r="41" spans="1:13" x14ac:dyDescent="0.35">
      <c r="B41" t="s">
        <v>102</v>
      </c>
      <c r="C41" s="25">
        <f>IFERROR('Data Sheet'!B31/HistoricalFs!C36,0)</f>
        <v>0.23524522028262676</v>
      </c>
      <c r="D41" s="25">
        <f>IFERROR('Data Sheet'!C31/HistoricalFs!D36,0)</f>
        <v>0</v>
      </c>
      <c r="E41" s="25">
        <f>IFERROR('Data Sheet'!D31/HistoricalFs!E36,0)</f>
        <v>0</v>
      </c>
      <c r="F41" s="25">
        <f>IFERROR('Data Sheet'!E31/HistoricalFs!F36,0)</f>
        <v>0</v>
      </c>
      <c r="G41" s="25">
        <f>IFERROR('Data Sheet'!F31/HistoricalFs!G36,0)</f>
        <v>0</v>
      </c>
      <c r="H41" s="25">
        <f>IFERROR('Data Sheet'!G31/HistoricalFs!H36,0)</f>
        <v>0</v>
      </c>
      <c r="I41" s="25">
        <f>IFERROR('Data Sheet'!H31/HistoricalFs!I36,0)</f>
        <v>0</v>
      </c>
      <c r="J41" s="25">
        <f>IFERROR('Data Sheet'!I31/HistoricalFs!J36,0)</f>
        <v>2.3063860536536898</v>
      </c>
      <c r="K41" s="25">
        <f>IFERROR('Data Sheet'!J31/HistoricalFs!K36,0)</f>
        <v>6.9230074916508713</v>
      </c>
      <c r="L41" s="25">
        <f>IFERROR('Data Sheet'!K31/HistoricalFs!L36,0)</f>
        <v>5.9978811832776469</v>
      </c>
      <c r="M41" s="25">
        <f>IFERROR('Data Sheet'!L31/HistoricalFs!M36,0)</f>
        <v>0</v>
      </c>
    </row>
    <row r="42" spans="1:13" x14ac:dyDescent="0.35">
      <c r="B42" s="26" t="s">
        <v>103</v>
      </c>
      <c r="C42" s="27">
        <f t="shared" ref="C42:M42" si="16">IFERROR(C41/C38,0)</f>
        <v>2.7763051025234027E-3</v>
      </c>
      <c r="D42" s="27">
        <f t="shared" si="16"/>
        <v>0</v>
      </c>
      <c r="E42" s="27">
        <f t="shared" si="16"/>
        <v>0</v>
      </c>
      <c r="F42" s="27">
        <f t="shared" si="16"/>
        <v>0</v>
      </c>
      <c r="G42" s="27">
        <f t="shared" si="16"/>
        <v>0</v>
      </c>
      <c r="H42" s="27">
        <f t="shared" si="16"/>
        <v>0</v>
      </c>
      <c r="I42" s="27">
        <f t="shared" si="16"/>
        <v>0</v>
      </c>
      <c r="J42" s="27">
        <f t="shared" si="16"/>
        <v>-1.6986767963703367E-2</v>
      </c>
      <c r="K42" s="27">
        <f t="shared" si="16"/>
        <v>5.4235610239004382E-2</v>
      </c>
      <c r="L42" s="27">
        <f t="shared" si="16"/>
        <v>5.8857241866478293E-3</v>
      </c>
      <c r="M42" s="27">
        <f t="shared" si="16"/>
        <v>0</v>
      </c>
    </row>
    <row r="44" spans="1:13" x14ac:dyDescent="0.35">
      <c r="B44" t="s">
        <v>104</v>
      </c>
      <c r="C44" s="37">
        <f t="shared" ref="C44:M44" si="17">IFERROR(IF(C38&gt;C41,1-C42,0),0)</f>
        <v>0.99722369489747664</v>
      </c>
      <c r="D44" s="37">
        <f t="shared" si="17"/>
        <v>0</v>
      </c>
      <c r="E44" s="37">
        <f t="shared" si="17"/>
        <v>1</v>
      </c>
      <c r="F44" s="37">
        <f t="shared" si="17"/>
        <v>1</v>
      </c>
      <c r="G44" s="37">
        <f t="shared" si="17"/>
        <v>1</v>
      </c>
      <c r="H44" s="37">
        <f t="shared" si="17"/>
        <v>0</v>
      </c>
      <c r="I44" s="37">
        <f t="shared" si="17"/>
        <v>0</v>
      </c>
      <c r="J44" s="37">
        <f t="shared" si="17"/>
        <v>0</v>
      </c>
      <c r="K44" s="37">
        <f t="shared" si="17"/>
        <v>0.94576438976099564</v>
      </c>
      <c r="L44" s="37">
        <f t="shared" si="17"/>
        <v>0.99411427581335221</v>
      </c>
      <c r="M44" s="37">
        <f t="shared" si="17"/>
        <v>1</v>
      </c>
    </row>
    <row r="46" spans="1:13" s="39" customFormat="1" x14ac:dyDescent="0.35">
      <c r="A46" s="39" t="s">
        <v>84</v>
      </c>
      <c r="B46" s="40" t="s">
        <v>105</v>
      </c>
    </row>
    <row r="47" spans="1:13" x14ac:dyDescent="0.35">
      <c r="B47" t="s">
        <v>24</v>
      </c>
      <c r="C47" s="25">
        <f>IFERROR('Data Sheet'!B57,0)</f>
        <v>679.18</v>
      </c>
      <c r="D47" s="25">
        <f>IFERROR('Data Sheet'!C57,0)</f>
        <v>679.22</v>
      </c>
      <c r="E47" s="25">
        <f>IFERROR('Data Sheet'!D57,0)</f>
        <v>679.22</v>
      </c>
      <c r="F47" s="25">
        <f>IFERROR('Data Sheet'!E57,0)</f>
        <v>679.22</v>
      </c>
      <c r="G47" s="25">
        <f>IFERROR('Data Sheet'!F57,0)</f>
        <v>719.54</v>
      </c>
      <c r="H47" s="25">
        <f>IFERROR('Data Sheet'!G57,0)</f>
        <v>765.81</v>
      </c>
      <c r="I47" s="25">
        <f>IFERROR('Data Sheet'!H57,0)</f>
        <v>765.88</v>
      </c>
      <c r="J47" s="25">
        <f>IFERROR('Data Sheet'!I57,0)</f>
        <v>766.02</v>
      </c>
      <c r="K47" s="25">
        <f>IFERROR('Data Sheet'!J57,0)</f>
        <v>767</v>
      </c>
      <c r="L47" s="25">
        <f>IFERROR('Data Sheet'!K57,0)</f>
        <v>736</v>
      </c>
      <c r="M47" s="25"/>
    </row>
    <row r="48" spans="1:13" x14ac:dyDescent="0.35">
      <c r="B48" t="s">
        <v>25</v>
      </c>
      <c r="C48" s="25">
        <f>IFERROR('Data Sheet'!B58,0)</f>
        <v>78273.23</v>
      </c>
      <c r="D48" s="25">
        <f>IFERROR('Data Sheet'!C58,0)</f>
        <v>57382.67</v>
      </c>
      <c r="E48" s="25">
        <f>IFERROR('Data Sheet'!D58,0)</f>
        <v>94748.69</v>
      </c>
      <c r="F48" s="25">
        <f>IFERROR('Data Sheet'!E58,0)</f>
        <v>59500.34</v>
      </c>
      <c r="G48" s="25">
        <f>IFERROR('Data Sheet'!F58,0)</f>
        <v>62358.99</v>
      </c>
      <c r="H48" s="25">
        <f>IFERROR('Data Sheet'!G58,0)</f>
        <v>54480.91</v>
      </c>
      <c r="I48" s="25">
        <f>IFERROR('Data Sheet'!H58,0)</f>
        <v>43795.360000000001</v>
      </c>
      <c r="J48" s="25">
        <f>IFERROR('Data Sheet'!I58,0)</f>
        <v>44555.77</v>
      </c>
      <c r="K48" s="25">
        <f>IFERROR('Data Sheet'!J58,0)</f>
        <v>84151</v>
      </c>
      <c r="L48" s="25">
        <f>IFERROR('Data Sheet'!K58,0)</f>
        <v>115408</v>
      </c>
      <c r="M48" s="25"/>
    </row>
    <row r="49" spans="2:12" x14ac:dyDescent="0.35">
      <c r="B49" t="s">
        <v>62</v>
      </c>
      <c r="C49" s="25">
        <f>IFERROR('Data Sheet'!B59,0)</f>
        <v>69359.960000000006</v>
      </c>
      <c r="D49" s="25">
        <f>IFERROR('Data Sheet'!C59,0)</f>
        <v>78603.98</v>
      </c>
      <c r="E49" s="25">
        <f>IFERROR('Data Sheet'!D59,0)</f>
        <v>88950.47</v>
      </c>
      <c r="F49" s="25">
        <f>IFERROR('Data Sheet'!E59,0)</f>
        <v>106175.34</v>
      </c>
      <c r="G49" s="25">
        <f>IFERROR('Data Sheet'!F59,0)</f>
        <v>124787.64</v>
      </c>
      <c r="H49" s="25">
        <f>IFERROR('Data Sheet'!G59,0)</f>
        <v>142130.57</v>
      </c>
      <c r="I49" s="25">
        <f>IFERROR('Data Sheet'!H59,0)</f>
        <v>146449.03</v>
      </c>
      <c r="J49" s="25">
        <f>IFERROR('Data Sheet'!I59,0)</f>
        <v>134113.44</v>
      </c>
      <c r="K49" s="25">
        <f>IFERROR('Data Sheet'!J59,0)</f>
        <v>107264</v>
      </c>
      <c r="L49" s="25">
        <f>IFERROR('Data Sheet'!K59,0)</f>
        <v>71540</v>
      </c>
    </row>
    <row r="50" spans="2:12" x14ac:dyDescent="0.35">
      <c r="B50" t="s">
        <v>63</v>
      </c>
      <c r="C50" s="25">
        <f>IFERROR('Data Sheet'!B60,0)</f>
        <v>114871.75</v>
      </c>
      <c r="D50" s="25">
        <f>IFERROR('Data Sheet'!C60,0)</f>
        <v>135914.49</v>
      </c>
      <c r="E50" s="25">
        <f>IFERROR('Data Sheet'!D60,0)</f>
        <v>142813.43</v>
      </c>
      <c r="F50" s="25">
        <f>IFERROR('Data Sheet'!E60,0)</f>
        <v>139348.59</v>
      </c>
      <c r="G50" s="25">
        <f>IFERROR('Data Sheet'!F60,0)</f>
        <v>132313.22</v>
      </c>
      <c r="H50" s="25">
        <f>IFERROR('Data Sheet'!G60,0)</f>
        <v>144192.62</v>
      </c>
      <c r="I50" s="25">
        <f>IFERROR('Data Sheet'!H60,0)</f>
        <v>138051.22</v>
      </c>
      <c r="J50" s="25">
        <f>IFERROR('Data Sheet'!I60,0)</f>
        <v>155239.20000000001</v>
      </c>
      <c r="K50" s="25">
        <f>IFERROR('Data Sheet'!J60,0)</f>
        <v>177339</v>
      </c>
      <c r="L50" s="25">
        <f>IFERROR('Data Sheet'!K60,0)</f>
        <v>189289</v>
      </c>
    </row>
    <row r="51" spans="2:12" x14ac:dyDescent="0.35">
      <c r="B51" s="43" t="s">
        <v>106</v>
      </c>
      <c r="C51" s="44">
        <f>IFERROR('Data Sheet'!B61,0)</f>
        <v>263184.12</v>
      </c>
      <c r="D51" s="44">
        <f>IFERROR('Data Sheet'!C61,0)</f>
        <v>272580.36</v>
      </c>
      <c r="E51" s="44">
        <f>IFERROR('Data Sheet'!D61,0)</f>
        <v>327191.81</v>
      </c>
      <c r="F51" s="44">
        <f>IFERROR('Data Sheet'!E61,0)</f>
        <v>305703.49</v>
      </c>
      <c r="G51" s="44">
        <f>IFERROR('Data Sheet'!F61,0)</f>
        <v>320179.39</v>
      </c>
      <c r="H51" s="44">
        <f>IFERROR('Data Sheet'!G61,0)</f>
        <v>341569.91</v>
      </c>
      <c r="I51" s="44">
        <f>IFERROR('Data Sheet'!H61,0)</f>
        <v>329061.49</v>
      </c>
      <c r="J51" s="44">
        <f>IFERROR('Data Sheet'!I61,0)</f>
        <v>334674.43</v>
      </c>
      <c r="K51" s="44">
        <f>IFERROR('Data Sheet'!J61,0)</f>
        <v>369521</v>
      </c>
      <c r="L51" s="44">
        <f>IFERROR('Data Sheet'!K61,0)</f>
        <v>376973</v>
      </c>
    </row>
    <row r="53" spans="2:12" x14ac:dyDescent="0.35">
      <c r="B53" t="s">
        <v>107</v>
      </c>
      <c r="C53" s="25">
        <f>IFERROR('Data Sheet'!B62,0)</f>
        <v>107231.76</v>
      </c>
      <c r="D53" s="25">
        <f>IFERROR('Data Sheet'!C62,0)</f>
        <v>95944.08</v>
      </c>
      <c r="E53" s="25">
        <f>IFERROR('Data Sheet'!D62,0)</f>
        <v>121413.86</v>
      </c>
      <c r="F53" s="25">
        <f>IFERROR('Data Sheet'!E62,0)</f>
        <v>111234.47</v>
      </c>
      <c r="G53" s="25">
        <f>IFERROR('Data Sheet'!F62,0)</f>
        <v>127107.14</v>
      </c>
      <c r="H53" s="25">
        <f>IFERROR('Data Sheet'!G62,0)</f>
        <v>138707.60999999999</v>
      </c>
      <c r="I53" s="25">
        <f>IFERROR('Data Sheet'!H62,0)</f>
        <v>138855.45000000001</v>
      </c>
      <c r="J53" s="25">
        <f>IFERROR('Data Sheet'!I62,0)</f>
        <v>132079.76</v>
      </c>
      <c r="K53" s="25">
        <f>IFERROR('Data Sheet'!J62,0)</f>
        <v>121285</v>
      </c>
      <c r="L53" s="25">
        <f>IFERROR('Data Sheet'!K62,0)</f>
        <v>115697</v>
      </c>
    </row>
    <row r="54" spans="2:12" x14ac:dyDescent="0.35">
      <c r="B54" t="s">
        <v>108</v>
      </c>
      <c r="C54" s="25">
        <f>IFERROR('Data Sheet'!B63,0)</f>
        <v>25918.94</v>
      </c>
      <c r="D54" s="25">
        <f>IFERROR('Data Sheet'!C63,0)</f>
        <v>33698.839999999997</v>
      </c>
      <c r="E54" s="25">
        <f>IFERROR('Data Sheet'!D63,0)</f>
        <v>40033.5</v>
      </c>
      <c r="F54" s="25">
        <f>IFERROR('Data Sheet'!E63,0)</f>
        <v>31883.84</v>
      </c>
      <c r="G54" s="25">
        <f>IFERROR('Data Sheet'!F63,0)</f>
        <v>35622.29</v>
      </c>
      <c r="H54" s="25">
        <f>IFERROR('Data Sheet'!G63,0)</f>
        <v>20963.93</v>
      </c>
      <c r="I54" s="25">
        <f>IFERROR('Data Sheet'!H63,0)</f>
        <v>10251.09</v>
      </c>
      <c r="J54" s="25">
        <f>IFERROR('Data Sheet'!I63,0)</f>
        <v>14274.5</v>
      </c>
      <c r="K54" s="25">
        <f>IFERROR('Data Sheet'!J63,0)</f>
        <v>35698</v>
      </c>
      <c r="L54" s="25">
        <f>IFERROR('Data Sheet'!K63,0)</f>
        <v>65806</v>
      </c>
    </row>
    <row r="55" spans="2:12" x14ac:dyDescent="0.35">
      <c r="B55" t="s">
        <v>29</v>
      </c>
      <c r="C55" s="25">
        <f>IFERROR('Data Sheet'!B64,0)</f>
        <v>23767.02</v>
      </c>
      <c r="D55" s="25">
        <f>IFERROR('Data Sheet'!C64,0)</f>
        <v>20337.919999999998</v>
      </c>
      <c r="E55" s="25">
        <f>IFERROR('Data Sheet'!D64,0)</f>
        <v>20812.75</v>
      </c>
      <c r="F55" s="25">
        <f>IFERROR('Data Sheet'!E64,0)</f>
        <v>15770.72</v>
      </c>
      <c r="G55" s="25">
        <f>IFERROR('Data Sheet'!F64,0)</f>
        <v>16308.48</v>
      </c>
      <c r="H55" s="25">
        <f>IFERROR('Data Sheet'!G64,0)</f>
        <v>24620.28</v>
      </c>
      <c r="I55" s="25">
        <f>IFERROR('Data Sheet'!H64,0)</f>
        <v>29379.53</v>
      </c>
      <c r="J55" s="25">
        <f>IFERROR('Data Sheet'!I64,0)</f>
        <v>26379.16</v>
      </c>
      <c r="K55" s="25">
        <f>IFERROR('Data Sheet'!J64,0)</f>
        <v>22971</v>
      </c>
      <c r="L55" s="25">
        <f>IFERROR('Data Sheet'!K64,0)</f>
        <v>35656</v>
      </c>
    </row>
    <row r="56" spans="2:12" x14ac:dyDescent="0.35">
      <c r="B56" t="s">
        <v>64</v>
      </c>
      <c r="C56" s="25">
        <f>IFERROR('Data Sheet'!B65-SUM('Data Sheet'!B67:B69),0)</f>
        <v>29579.359999999986</v>
      </c>
      <c r="D56" s="25">
        <f>IFERROR('Data Sheet'!C65-SUM('Data Sheet'!C67:C69),0)</f>
        <v>37360.780000000013</v>
      </c>
      <c r="E56" s="25">
        <f>IFERROR('Data Sheet'!D65-SUM('Data Sheet'!D67:D69),0)</f>
        <v>48286.860000000015</v>
      </c>
      <c r="F56" s="25">
        <f>IFERROR('Data Sheet'!E65-SUM('Data Sheet'!E67:E69),0)</f>
        <v>56155.739999999991</v>
      </c>
      <c r="G56" s="25">
        <f>IFERROR('Data Sheet'!F65-SUM('Data Sheet'!F67:F69),0)</f>
        <v>58784.94</v>
      </c>
      <c r="H56" s="25">
        <f>IFERROR('Data Sheet'!G65-SUM('Data Sheet'!G67:G69),0)</f>
        <v>61717.959999999992</v>
      </c>
      <c r="I56" s="25">
        <f>IFERROR('Data Sheet'!H65-SUM('Data Sheet'!H67:H69),0)</f>
        <v>62223.770000000019</v>
      </c>
      <c r="J56" s="25">
        <f>IFERROR('Data Sheet'!I65-SUM('Data Sheet'!I67:I69),0)</f>
        <v>68432.090000000011</v>
      </c>
      <c r="K56" s="25">
        <f>IFERROR('Data Sheet'!J65-SUM('Data Sheet'!J67:J69),0)</f>
        <v>79020</v>
      </c>
      <c r="L56" s="25">
        <f>IFERROR('Data Sheet'!K65-SUM('Data Sheet'!K67:K69),0)</f>
        <v>58463</v>
      </c>
    </row>
    <row r="57" spans="2:12" x14ac:dyDescent="0.35">
      <c r="B57" s="43" t="s">
        <v>109</v>
      </c>
      <c r="C57" s="44">
        <f>SUM(C53:C56)</f>
        <v>186497.07999999996</v>
      </c>
      <c r="D57" s="44">
        <f t="shared" ref="D57:L57" si="18">SUM(D53:D56)</f>
        <v>187341.62</v>
      </c>
      <c r="E57" s="44">
        <f t="shared" si="18"/>
        <v>230546.97</v>
      </c>
      <c r="F57" s="44">
        <f t="shared" si="18"/>
        <v>215044.77</v>
      </c>
      <c r="G57" s="44">
        <f t="shared" si="18"/>
        <v>237822.85</v>
      </c>
      <c r="H57" s="44">
        <f t="shared" si="18"/>
        <v>246009.77999999997</v>
      </c>
      <c r="I57" s="44">
        <f t="shared" si="18"/>
        <v>240709.84000000003</v>
      </c>
      <c r="J57" s="44">
        <f t="shared" si="18"/>
        <v>241165.51</v>
      </c>
      <c r="K57" s="44">
        <f t="shared" si="18"/>
        <v>258974</v>
      </c>
      <c r="L57" s="44">
        <f t="shared" si="18"/>
        <v>275622</v>
      </c>
    </row>
    <row r="59" spans="2:12" x14ac:dyDescent="0.35">
      <c r="B59" t="s">
        <v>69</v>
      </c>
      <c r="C59" s="25">
        <f>IFERROR('Data Sheet'!B67,0)</f>
        <v>13570.91</v>
      </c>
      <c r="D59" s="25">
        <f>IFERROR('Data Sheet'!C67,0)</f>
        <v>14075.55</v>
      </c>
      <c r="E59" s="25">
        <f>IFERROR('Data Sheet'!D67,0)</f>
        <v>19893.3</v>
      </c>
      <c r="F59" s="25">
        <f>IFERROR('Data Sheet'!E67,0)</f>
        <v>18996.169999999998</v>
      </c>
      <c r="G59" s="25">
        <f>IFERROR('Data Sheet'!F67,0)</f>
        <v>11172.69</v>
      </c>
      <c r="H59" s="25">
        <f>IFERROR('Data Sheet'!G67,0)</f>
        <v>12679.08</v>
      </c>
      <c r="I59" s="25">
        <f>IFERROR('Data Sheet'!H67,0)</f>
        <v>12442.12</v>
      </c>
      <c r="J59" s="25">
        <f>IFERROR('Data Sheet'!I67,0)</f>
        <v>15737.97</v>
      </c>
      <c r="K59" s="25">
        <f>IFERROR('Data Sheet'!J67,0)</f>
        <v>16952</v>
      </c>
      <c r="L59" s="25">
        <f>IFERROR('Data Sheet'!K67,0)</f>
        <v>13248</v>
      </c>
    </row>
    <row r="60" spans="2:12" x14ac:dyDescent="0.35">
      <c r="B60" t="s">
        <v>45</v>
      </c>
      <c r="C60" s="25">
        <f>IFERROR('Data Sheet'!B68,0)</f>
        <v>32655.73</v>
      </c>
      <c r="D60" s="25">
        <f>IFERROR('Data Sheet'!C68,0)</f>
        <v>35085.31</v>
      </c>
      <c r="E60" s="25">
        <f>IFERROR('Data Sheet'!D68,0)</f>
        <v>42137.63</v>
      </c>
      <c r="F60" s="25">
        <f>IFERROR('Data Sheet'!E68,0)</f>
        <v>39013.730000000003</v>
      </c>
      <c r="G60" s="25">
        <f>IFERROR('Data Sheet'!F68,0)</f>
        <v>37456.879999999997</v>
      </c>
      <c r="H60" s="25">
        <f>IFERROR('Data Sheet'!G68,0)</f>
        <v>36088.589999999997</v>
      </c>
      <c r="I60" s="25">
        <f>IFERROR('Data Sheet'!H68,0)</f>
        <v>35240.339999999997</v>
      </c>
      <c r="J60" s="25">
        <f>IFERROR('Data Sheet'!I68,0)</f>
        <v>40755.39</v>
      </c>
      <c r="K60" s="25">
        <f>IFERROR('Data Sheet'!J68,0)</f>
        <v>47788</v>
      </c>
      <c r="L60" s="25">
        <f>IFERROR('Data Sheet'!K68,0)</f>
        <v>47269</v>
      </c>
    </row>
    <row r="61" spans="2:12" x14ac:dyDescent="0.35">
      <c r="B61" t="s">
        <v>110</v>
      </c>
      <c r="C61" s="25">
        <f>IFERROR('Data Sheet'!B69,0)</f>
        <v>30460.400000000001</v>
      </c>
      <c r="D61" s="25">
        <f>IFERROR('Data Sheet'!C69,0)</f>
        <v>36077.879999999997</v>
      </c>
      <c r="E61" s="25">
        <f>IFERROR('Data Sheet'!D69,0)</f>
        <v>34613.910000000003</v>
      </c>
      <c r="F61" s="25">
        <f>IFERROR('Data Sheet'!E69,0)</f>
        <v>32648.82</v>
      </c>
      <c r="G61" s="25">
        <f>IFERROR('Data Sheet'!F69,0)</f>
        <v>33726.97</v>
      </c>
      <c r="H61" s="25">
        <f>IFERROR('Data Sheet'!G69,0)</f>
        <v>46792.46</v>
      </c>
      <c r="I61" s="25">
        <f>IFERROR('Data Sheet'!H69,0)</f>
        <v>40669.19</v>
      </c>
      <c r="J61" s="25">
        <f>IFERROR('Data Sheet'!I69,0)</f>
        <v>37015.56</v>
      </c>
      <c r="K61" s="25">
        <f>IFERROR('Data Sheet'!J69,0)</f>
        <v>45807</v>
      </c>
      <c r="L61" s="25">
        <f>IFERROR('Data Sheet'!K69,0)</f>
        <v>40834</v>
      </c>
    </row>
    <row r="62" spans="2:12" x14ac:dyDescent="0.35">
      <c r="B62" s="43" t="s">
        <v>111</v>
      </c>
      <c r="C62" s="44">
        <f>IFERROR(SUM(C59:C61),0)</f>
        <v>76687.040000000008</v>
      </c>
      <c r="D62" s="44">
        <f t="shared" ref="D62:L62" si="19">IFERROR(SUM(D59:D61),0)</f>
        <v>85238.739999999991</v>
      </c>
      <c r="E62" s="44">
        <f t="shared" si="19"/>
        <v>96644.84</v>
      </c>
      <c r="F62" s="44">
        <f t="shared" si="19"/>
        <v>90658.72</v>
      </c>
      <c r="G62" s="44">
        <f t="shared" si="19"/>
        <v>82356.540000000008</v>
      </c>
      <c r="H62" s="44">
        <f t="shared" si="19"/>
        <v>95560.13</v>
      </c>
      <c r="I62" s="44">
        <f t="shared" si="19"/>
        <v>88351.65</v>
      </c>
      <c r="J62" s="44">
        <f t="shared" si="19"/>
        <v>93508.92</v>
      </c>
      <c r="K62" s="44">
        <f t="shared" si="19"/>
        <v>110547</v>
      </c>
      <c r="L62" s="44">
        <f t="shared" si="19"/>
        <v>101351</v>
      </c>
    </row>
    <row r="64" spans="2:12" x14ac:dyDescent="0.35">
      <c r="B64" s="43" t="s">
        <v>112</v>
      </c>
      <c r="C64" s="44">
        <f>IFERROR(C62+C57,0)</f>
        <v>263184.12</v>
      </c>
      <c r="D64" s="44">
        <f t="shared" ref="D64:L64" si="20">IFERROR(D62+D57,0)</f>
        <v>272580.36</v>
      </c>
      <c r="E64" s="44">
        <f t="shared" si="20"/>
        <v>327191.81</v>
      </c>
      <c r="F64" s="44">
        <f t="shared" si="20"/>
        <v>305703.49</v>
      </c>
      <c r="G64" s="44">
        <f t="shared" si="20"/>
        <v>320179.39</v>
      </c>
      <c r="H64" s="44">
        <f t="shared" si="20"/>
        <v>341569.91</v>
      </c>
      <c r="I64" s="44">
        <f t="shared" si="20"/>
        <v>329061.49</v>
      </c>
      <c r="J64" s="44">
        <f t="shared" si="20"/>
        <v>334674.43</v>
      </c>
      <c r="K64" s="44">
        <f t="shared" si="20"/>
        <v>369521</v>
      </c>
      <c r="L64" s="44">
        <f t="shared" si="20"/>
        <v>376973</v>
      </c>
    </row>
    <row r="66" spans="1:13" x14ac:dyDescent="0.35">
      <c r="B66" s="2" t="s">
        <v>113</v>
      </c>
      <c r="C66" t="b">
        <f>C64=C51</f>
        <v>1</v>
      </c>
      <c r="D66" t="b">
        <f t="shared" ref="D66:L66" si="21">D64=D51</f>
        <v>1</v>
      </c>
      <c r="E66" t="b">
        <f t="shared" si="21"/>
        <v>1</v>
      </c>
      <c r="F66" t="b">
        <f t="shared" si="21"/>
        <v>1</v>
      </c>
      <c r="G66" t="b">
        <f t="shared" si="21"/>
        <v>1</v>
      </c>
      <c r="H66" t="b">
        <f t="shared" si="21"/>
        <v>1</v>
      </c>
      <c r="I66" t="b">
        <f t="shared" si="21"/>
        <v>1</v>
      </c>
      <c r="J66" t="b">
        <f t="shared" si="21"/>
        <v>1</v>
      </c>
      <c r="K66" t="b">
        <f t="shared" si="21"/>
        <v>1</v>
      </c>
      <c r="L66" t="b">
        <f t="shared" si="21"/>
        <v>1</v>
      </c>
    </row>
    <row r="68" spans="1:13" x14ac:dyDescent="0.35">
      <c r="A68" t="s">
        <v>84</v>
      </c>
      <c r="B68" s="40" t="s">
        <v>114</v>
      </c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3" x14ac:dyDescent="0.35">
      <c r="B69" s="2" t="s">
        <v>115</v>
      </c>
    </row>
    <row r="70" spans="1:13" x14ac:dyDescent="0.35">
      <c r="B70" t="s">
        <v>116</v>
      </c>
      <c r="C70" s="25">
        <f>IFERROR('cash flow screener'!D3,0)</f>
        <v>38626</v>
      </c>
      <c r="D70" s="25">
        <f>IFERROR('cash flow screener'!E3,0)</f>
        <v>28840</v>
      </c>
      <c r="E70" s="25">
        <f>IFERROR('cash flow screener'!F3,0)</f>
        <v>33312</v>
      </c>
      <c r="F70" s="25">
        <f>IFERROR('cash flow screener'!G3,0)</f>
        <v>28771</v>
      </c>
      <c r="G70" s="25">
        <f>IFERROR('cash flow screener'!H3,0)</f>
        <v>23352</v>
      </c>
      <c r="H70" s="25">
        <f>IFERROR('cash flow screener'!I3,0)</f>
        <v>31198</v>
      </c>
      <c r="I70" s="25">
        <f>IFERROR('cash flow screener'!J3,0)</f>
        <v>26943</v>
      </c>
      <c r="J70" s="25">
        <f>IFERROR('cash flow screener'!K3,0)</f>
        <v>41694</v>
      </c>
      <c r="K70" s="25">
        <f>IFERROR('cash flow screener'!L3,0)</f>
        <v>65106</v>
      </c>
      <c r="L70" s="25">
        <f>IFERROR('cash flow screener'!M3,0)</f>
        <v>58937</v>
      </c>
    </row>
    <row r="71" spans="1:13" x14ac:dyDescent="0.35">
      <c r="B71" t="s">
        <v>69</v>
      </c>
      <c r="C71" s="25">
        <f>IFERROR('cash flow screener'!D4,0)</f>
        <v>-2223</v>
      </c>
      <c r="D71" s="25">
        <f>IFERROR('cash flow screener'!E4,0)</f>
        <v>-4152</v>
      </c>
      <c r="E71" s="25">
        <f>IFERROR('cash flow screener'!F4,0)</f>
        <v>-10688</v>
      </c>
      <c r="F71" s="25">
        <f>IFERROR('cash flow screener'!G4,0)</f>
        <v>-9109</v>
      </c>
      <c r="G71" s="25">
        <f>IFERROR('cash flow screener'!H4,0)</f>
        <v>9950</v>
      </c>
      <c r="H71" s="25">
        <f>IFERROR('cash flow screener'!I4,0)</f>
        <v>-5505</v>
      </c>
      <c r="I71" s="25">
        <f>IFERROR('cash flow screener'!J4,0)</f>
        <v>185</v>
      </c>
      <c r="J71" s="25">
        <f>IFERROR('cash flow screener'!K4,0)</f>
        <v>-2213</v>
      </c>
      <c r="K71" s="25">
        <f>IFERROR('cash flow screener'!L4,0)</f>
        <v>-1876</v>
      </c>
      <c r="L71" s="25">
        <f>IFERROR('cash flow screener'!M4,0)</f>
        <v>3573</v>
      </c>
    </row>
    <row r="72" spans="1:13" x14ac:dyDescent="0.35">
      <c r="B72" t="s">
        <v>45</v>
      </c>
      <c r="C72" s="25">
        <f>IFERROR('cash flow screener'!D5,0)</f>
        <v>-5743</v>
      </c>
      <c r="D72" s="25">
        <f>IFERROR('cash flow screener'!E5,0)</f>
        <v>-6621</v>
      </c>
      <c r="E72" s="25">
        <f>IFERROR('cash flow screener'!F5,0)</f>
        <v>-3560</v>
      </c>
      <c r="F72" s="25">
        <f>IFERROR('cash flow screener'!G5,0)</f>
        <v>2069</v>
      </c>
      <c r="G72" s="25">
        <f>IFERROR('cash flow screener'!H5,0)</f>
        <v>2326</v>
      </c>
      <c r="H72" s="25">
        <f>IFERROR('cash flow screener'!I5,0)</f>
        <v>3814</v>
      </c>
      <c r="I72" s="25">
        <f>IFERROR('cash flow screener'!J5,0)</f>
        <v>472</v>
      </c>
      <c r="J72" s="25">
        <f>IFERROR('cash flow screener'!K5,0)</f>
        <v>-5665</v>
      </c>
      <c r="K72" s="25">
        <f>IFERROR('cash flow screener'!L5,0)</f>
        <v>-7265</v>
      </c>
      <c r="L72" s="25">
        <f>IFERROR('cash flow screener'!M5,0)</f>
        <v>2127</v>
      </c>
    </row>
    <row r="73" spans="1:13" x14ac:dyDescent="0.35">
      <c r="B73" t="s">
        <v>117</v>
      </c>
      <c r="C73" s="25">
        <f>IFERROR('cash flow screener'!D6,0)</f>
        <v>3947</v>
      </c>
      <c r="D73" s="25">
        <f>IFERROR('cash flow screener'!E6,0)</f>
        <v>9301</v>
      </c>
      <c r="E73" s="25">
        <f>IFERROR('cash flow screener'!F6,0)</f>
        <v>7320</v>
      </c>
      <c r="F73" s="25">
        <f>IFERROR('cash flow screener'!G6,0)</f>
        <v>-4692</v>
      </c>
      <c r="G73" s="25">
        <f>IFERROR('cash flow screener'!H6,0)</f>
        <v>-8085</v>
      </c>
      <c r="H73" s="25">
        <f>IFERROR('cash flow screener'!I6,0)</f>
        <v>5748</v>
      </c>
      <c r="I73" s="25">
        <f>IFERROR('cash flow screener'!J6,0)</f>
        <v>-7012</v>
      </c>
      <c r="J73" s="25">
        <f>IFERROR('cash flow screener'!K6,0)</f>
        <v>6945</v>
      </c>
      <c r="K73" s="25">
        <f>IFERROR('cash flow screener'!L6,0)</f>
        <v>13706</v>
      </c>
      <c r="L73" s="25">
        <f>IFERROR('cash flow screener'!M6,0)</f>
        <v>1303</v>
      </c>
    </row>
    <row r="74" spans="1:13" x14ac:dyDescent="0.35">
      <c r="B74" t="s">
        <v>118</v>
      </c>
      <c r="C74" s="25">
        <f>IFERROR('cash flow screener'!D7,0)</f>
        <v>-520</v>
      </c>
      <c r="D74" s="25">
        <f>IFERROR('cash flow screener'!E7,0)</f>
        <v>0</v>
      </c>
      <c r="E74" s="25">
        <f>IFERROR('cash flow screener'!F7,0)</f>
        <v>0</v>
      </c>
      <c r="F74" s="25">
        <f>IFERROR('cash flow screener'!G7,0)</f>
        <v>0</v>
      </c>
      <c r="G74" s="25">
        <f>IFERROR('cash flow screener'!H7,0)</f>
        <v>0</v>
      </c>
      <c r="H74" s="25">
        <f>IFERROR('cash flow screener'!I7,0)</f>
        <v>0</v>
      </c>
      <c r="I74" s="25">
        <f>IFERROR('cash flow screener'!J7,0)</f>
        <v>0</v>
      </c>
      <c r="J74" s="25">
        <f>IFERROR('cash flow screener'!K7,0)</f>
        <v>0</v>
      </c>
      <c r="K74" s="25">
        <f>IFERROR('cash flow screener'!L7,0)</f>
        <v>0</v>
      </c>
      <c r="L74" s="25">
        <f>IFERROR('cash flow screener'!M7,0)</f>
        <v>0</v>
      </c>
    </row>
    <row r="75" spans="1:13" x14ac:dyDescent="0.35">
      <c r="B75" t="s">
        <v>119</v>
      </c>
      <c r="C75" s="25">
        <f>IFERROR('cash flow screener'!D8,0)</f>
        <v>5852</v>
      </c>
      <c r="D75" s="25">
        <f>IFERROR('cash flow screener'!E8,0)</f>
        <v>4727</v>
      </c>
      <c r="E75" s="25">
        <f>IFERROR('cash flow screener'!F8,0)</f>
        <v>494</v>
      </c>
      <c r="F75" s="25">
        <f>IFERROR('cash flow screener'!G8,0)</f>
        <v>4512</v>
      </c>
      <c r="G75" s="25">
        <f>IFERROR('cash flow screener'!H8,0)</f>
        <v>875</v>
      </c>
      <c r="H75" s="25">
        <f>IFERROR('cash flow screener'!I8,0)</f>
        <v>-4150</v>
      </c>
      <c r="I75" s="25">
        <f>IFERROR('cash flow screener'!J8,0)</f>
        <v>-4396</v>
      </c>
      <c r="J75" s="25">
        <f>IFERROR('cash flow screener'!K8,0)</f>
        <v>-2194</v>
      </c>
      <c r="K75" s="25">
        <f>IFERROR('cash flow screener'!L8,0)</f>
        <v>2760</v>
      </c>
      <c r="L75" s="25">
        <f>IFERROR('cash flow screener'!M8,0)</f>
        <v>1153</v>
      </c>
    </row>
    <row r="76" spans="1:13" x14ac:dyDescent="0.35">
      <c r="B76" t="s">
        <v>120</v>
      </c>
      <c r="C76" s="25">
        <f>IFERROR('cash flow screener'!D9,0)</f>
        <v>1313</v>
      </c>
      <c r="D76" s="25">
        <f>IFERROR('cash flow screener'!E9,0)</f>
        <v>3254</v>
      </c>
      <c r="E76" s="25">
        <f>IFERROR('cash flow screener'!F9,0)</f>
        <v>-6434</v>
      </c>
      <c r="F76" s="25">
        <f>IFERROR('cash flow screener'!G9,0)</f>
        <v>-7221</v>
      </c>
      <c r="G76" s="25">
        <f>IFERROR('cash flow screener'!H9,0)</f>
        <v>5065</v>
      </c>
      <c r="H76" s="25">
        <f>IFERROR('cash flow screener'!I9,0)</f>
        <v>-93</v>
      </c>
      <c r="I76" s="25">
        <f>IFERROR('cash flow screener'!J9,0)</f>
        <v>-10750</v>
      </c>
      <c r="J76" s="25">
        <f>IFERROR('cash flow screener'!K9,0)</f>
        <v>-3127</v>
      </c>
      <c r="K76" s="25">
        <f>IFERROR('cash flow screener'!L9,0)</f>
        <v>7325</v>
      </c>
      <c r="L76" s="25">
        <f>IFERROR('cash flow screener'!M9,0)</f>
        <v>8156</v>
      </c>
    </row>
    <row r="77" spans="1:13" x14ac:dyDescent="0.35">
      <c r="B77" t="s">
        <v>121</v>
      </c>
      <c r="C77" s="25">
        <f>IFERROR('cash flow screener'!D10,0)</f>
        <v>-2040</v>
      </c>
      <c r="D77" s="25">
        <f>IFERROR('cash flow screener'!E10,0)</f>
        <v>-1895</v>
      </c>
      <c r="E77" s="25">
        <f>IFERROR('cash flow screener'!F10,0)</f>
        <v>-3021</v>
      </c>
      <c r="F77" s="25">
        <f>IFERROR('cash flow screener'!G10,0)</f>
        <v>-2659</v>
      </c>
      <c r="G77" s="25">
        <f>IFERROR('cash flow screener'!H10,0)</f>
        <v>-1785</v>
      </c>
      <c r="H77" s="25">
        <f>IFERROR('cash flow screener'!I10,0)</f>
        <v>-2105</v>
      </c>
      <c r="I77" s="25">
        <f>IFERROR('cash flow screener'!J10,0)</f>
        <v>-1910</v>
      </c>
      <c r="J77" s="25">
        <f>IFERROR('cash flow screener'!K10,0)</f>
        <v>-3179</v>
      </c>
      <c r="K77" s="25">
        <f>IFERROR('cash flow screener'!L10,0)</f>
        <v>-4516</v>
      </c>
      <c r="L77" s="25">
        <f>IFERROR('cash flow screener'!M10,0)</f>
        <v>-3991</v>
      </c>
    </row>
    <row r="78" spans="1:13" x14ac:dyDescent="0.35">
      <c r="B78" s="41" t="s">
        <v>122</v>
      </c>
      <c r="C78" s="25">
        <f>SUM(C70:C77)</f>
        <v>39212</v>
      </c>
      <c r="D78" s="25">
        <f t="shared" ref="D78:M78" si="22">SUM(D70:D77)</f>
        <v>33454</v>
      </c>
      <c r="E78" s="25">
        <f t="shared" si="22"/>
        <v>17423</v>
      </c>
      <c r="F78" s="25">
        <f t="shared" si="22"/>
        <v>11671</v>
      </c>
      <c r="G78" s="25">
        <f t="shared" si="22"/>
        <v>31698</v>
      </c>
      <c r="H78" s="25">
        <f t="shared" si="22"/>
        <v>28907</v>
      </c>
      <c r="I78" s="25">
        <f t="shared" si="22"/>
        <v>3532</v>
      </c>
      <c r="J78" s="25">
        <f t="shared" si="22"/>
        <v>32261</v>
      </c>
      <c r="K78" s="25">
        <f t="shared" si="22"/>
        <v>75240</v>
      </c>
      <c r="L78" s="25">
        <f t="shared" si="22"/>
        <v>71258</v>
      </c>
      <c r="M78" s="25">
        <f t="shared" si="22"/>
        <v>0</v>
      </c>
    </row>
    <row r="80" spans="1:13" x14ac:dyDescent="0.35">
      <c r="B80" s="41" t="s">
        <v>123</v>
      </c>
    </row>
    <row r="81" spans="2:12" x14ac:dyDescent="0.35">
      <c r="B81" t="s">
        <v>124</v>
      </c>
      <c r="C81" s="25">
        <f>IFERROR('cash flow screener'!D12,0)</f>
        <v>-31503</v>
      </c>
      <c r="D81" s="25">
        <f>IFERROR('cash flow screener'!E12,0)</f>
        <v>-16072</v>
      </c>
      <c r="E81" s="25">
        <f>IFERROR('cash flow screener'!F12,0)</f>
        <v>-35079</v>
      </c>
      <c r="F81" s="25">
        <f>IFERROR('cash flow screener'!G12,0)</f>
        <v>-35304</v>
      </c>
      <c r="G81" s="25">
        <f>IFERROR('cash flow screener'!H12,0)</f>
        <v>-29702</v>
      </c>
      <c r="H81" s="25">
        <f>IFERROR('cash flow screener'!I12,0)</f>
        <v>-20205</v>
      </c>
      <c r="I81" s="25">
        <f>IFERROR('cash flow screener'!J12,0)</f>
        <v>-15168</v>
      </c>
      <c r="J81" s="25">
        <f>IFERROR('cash flow screener'!K12,0)</f>
        <v>-19230</v>
      </c>
      <c r="K81" s="25">
        <f>IFERROR('cash flow screener'!L12,0)</f>
        <v>-31414</v>
      </c>
      <c r="L81" s="25">
        <f>IFERROR('cash flow screener'!M12,0)</f>
        <v>-38042</v>
      </c>
    </row>
    <row r="82" spans="2:12" x14ac:dyDescent="0.35">
      <c r="B82" t="s">
        <v>125</v>
      </c>
      <c r="C82" s="25">
        <f>IFERROR('cash flow screener'!D13,0)</f>
        <v>59</v>
      </c>
      <c r="D82" s="25">
        <f>IFERROR('cash flow screener'!E13,0)</f>
        <v>53</v>
      </c>
      <c r="E82" s="25">
        <f>IFERROR('cash flow screener'!F13,0)</f>
        <v>30</v>
      </c>
      <c r="F82" s="25">
        <f>IFERROR('cash flow screener'!G13,0)</f>
        <v>67</v>
      </c>
      <c r="G82" s="25">
        <f>IFERROR('cash flow screener'!H13,0)</f>
        <v>171</v>
      </c>
      <c r="H82" s="25">
        <f>IFERROR('cash flow screener'!I13,0)</f>
        <v>351</v>
      </c>
      <c r="I82" s="25">
        <f>IFERROR('cash flow screener'!J13,0)</f>
        <v>230</v>
      </c>
      <c r="J82" s="25">
        <f>IFERROR('cash flow screener'!K13,0)</f>
        <v>285</v>
      </c>
      <c r="K82" s="25">
        <f>IFERROR('cash flow screener'!L13,0)</f>
        <v>231</v>
      </c>
      <c r="L82" s="25">
        <f>IFERROR('cash flow screener'!M13,0)</f>
        <v>974</v>
      </c>
    </row>
    <row r="83" spans="2:12" x14ac:dyDescent="0.35">
      <c r="B83" t="s">
        <v>126</v>
      </c>
      <c r="C83" s="25">
        <f>IFERROR('cash flow screener'!D14,0)</f>
        <v>-4728</v>
      </c>
      <c r="D83" s="25">
        <f>IFERROR('cash flow screener'!E14,0)</f>
        <v>-6</v>
      </c>
      <c r="E83" s="25">
        <f>IFERROR('cash flow screener'!F14,0)</f>
        <v>-329</v>
      </c>
      <c r="F83" s="25">
        <f>IFERROR('cash flow screener'!G14,0)</f>
        <v>-130</v>
      </c>
      <c r="G83" s="25">
        <f>IFERROR('cash flow screener'!H14,0)</f>
        <v>-1439</v>
      </c>
      <c r="H83" s="25">
        <f>IFERROR('cash flow screener'!I14,0)</f>
        <v>-7530</v>
      </c>
      <c r="I83" s="25">
        <f>IFERROR('cash flow screener'!J14,0)</f>
        <v>-3008</v>
      </c>
      <c r="J83" s="25">
        <f>IFERROR('cash flow screener'!K14,0)</f>
        <v>-50</v>
      </c>
      <c r="K83" s="25">
        <f>IFERROR('cash flow screener'!L14,0)</f>
        <v>-74</v>
      </c>
      <c r="L83" s="25">
        <f>IFERROR('cash flow screener'!M14,0)</f>
        <v>-12677</v>
      </c>
    </row>
    <row r="84" spans="2:12" x14ac:dyDescent="0.35">
      <c r="B84" t="s">
        <v>127</v>
      </c>
      <c r="C84" s="25">
        <f>IFERROR('cash flow screener'!D15,0)</f>
        <v>89</v>
      </c>
      <c r="D84" s="25">
        <f>IFERROR('cash flow screener'!E15,0)</f>
        <v>1965</v>
      </c>
      <c r="E84" s="25">
        <f>IFERROR('cash flow screener'!F15,0)</f>
        <v>2381</v>
      </c>
      <c r="F84" s="25">
        <f>IFERROR('cash flow screener'!G15,0)</f>
        <v>5644</v>
      </c>
      <c r="G84" s="25">
        <f>IFERROR('cash flow screener'!H15,0)</f>
        <v>21</v>
      </c>
      <c r="H84" s="25">
        <f>IFERROR('cash flow screener'!I15,0)</f>
        <v>226</v>
      </c>
      <c r="I84" s="25">
        <f>IFERROR('cash flow screener'!J15,0)</f>
        <v>104</v>
      </c>
      <c r="J84" s="25">
        <f>IFERROR('cash flow screener'!K15,0)</f>
        <v>6895</v>
      </c>
      <c r="K84" s="25">
        <f>IFERROR('cash flow screener'!L15,0)</f>
        <v>10821</v>
      </c>
      <c r="L84" s="25">
        <f>IFERROR('cash flow screener'!M15,0)</f>
        <v>111</v>
      </c>
    </row>
    <row r="85" spans="2:12" x14ac:dyDescent="0.35">
      <c r="B85" t="s">
        <v>128</v>
      </c>
      <c r="C85" s="25">
        <f>IFERROR('cash flow screener'!D16,0)</f>
        <v>731</v>
      </c>
      <c r="D85" s="25">
        <f>IFERROR('cash flow screener'!E16,0)</f>
        <v>638</v>
      </c>
      <c r="E85" s="25">
        <f>IFERROR('cash flow screener'!F16,0)</f>
        <v>690</v>
      </c>
      <c r="F85" s="25">
        <f>IFERROR('cash flow screener'!G16,0)</f>
        <v>761</v>
      </c>
      <c r="G85" s="25">
        <f>IFERROR('cash flow screener'!H16,0)</f>
        <v>1104</v>
      </c>
      <c r="H85" s="25">
        <f>IFERROR('cash flow screener'!I16,0)</f>
        <v>428</v>
      </c>
      <c r="I85" s="25">
        <f>IFERROR('cash flow screener'!J16,0)</f>
        <v>653</v>
      </c>
      <c r="J85" s="25">
        <f>IFERROR('cash flow screener'!K16,0)</f>
        <v>973</v>
      </c>
      <c r="K85" s="25">
        <f>IFERROR('cash flow screener'!L16,0)</f>
        <v>2493</v>
      </c>
      <c r="L85" s="25">
        <f>IFERROR('cash flow screener'!M16,0)</f>
        <v>2420</v>
      </c>
    </row>
    <row r="86" spans="2:12" x14ac:dyDescent="0.35">
      <c r="B86" t="s">
        <v>129</v>
      </c>
      <c r="C86" s="25">
        <f>IFERROR('cash flow screener'!D17,0)</f>
        <v>58</v>
      </c>
      <c r="D86" s="25">
        <f>IFERROR('cash flow screener'!E17,0)</f>
        <v>620</v>
      </c>
      <c r="E86" s="25">
        <f>IFERROR('cash flow screener'!F17,0)</f>
        <v>1797</v>
      </c>
      <c r="F86" s="25">
        <f>IFERROR('cash flow screener'!G17,0)</f>
        <v>232</v>
      </c>
      <c r="G86" s="25">
        <f>IFERROR('cash flow screener'!H17,0)</f>
        <v>21</v>
      </c>
      <c r="H86" s="25">
        <f>IFERROR('cash flow screener'!I17,0)</f>
        <v>18</v>
      </c>
      <c r="I86" s="25">
        <f>IFERROR('cash flow screener'!J17,0)</f>
        <v>32</v>
      </c>
      <c r="J86" s="25">
        <f>IFERROR('cash flow screener'!K17,0)</f>
        <v>46</v>
      </c>
      <c r="K86" s="25">
        <f>IFERROR('cash flow screener'!L17,0)</f>
        <v>47</v>
      </c>
      <c r="L86" s="25">
        <f>IFERROR('cash flow screener'!M17,0)</f>
        <v>64</v>
      </c>
    </row>
    <row r="87" spans="2:12" x14ac:dyDescent="0.35">
      <c r="B87" t="s">
        <v>130</v>
      </c>
      <c r="C87" s="25">
        <f>IFERROR('cash flow screener'!D18,0)</f>
        <v>0</v>
      </c>
      <c r="D87" s="25">
        <f>IFERROR('cash flow screener'!E18,0)</f>
        <v>-107</v>
      </c>
      <c r="E87" s="25">
        <f>IFERROR('cash flow screener'!F18,0)</f>
        <v>-4</v>
      </c>
      <c r="F87" s="25">
        <f>IFERROR('cash flow screener'!G18,0)</f>
        <v>-9</v>
      </c>
      <c r="G87" s="25">
        <f>IFERROR('cash flow screener'!H18,0)</f>
        <v>-606</v>
      </c>
      <c r="H87" s="25">
        <f>IFERROR('cash flow screener'!I18,0)</f>
        <v>-10</v>
      </c>
      <c r="I87" s="25">
        <f>IFERROR('cash flow screener'!J18,0)</f>
        <v>0</v>
      </c>
      <c r="J87" s="25">
        <f>IFERROR('cash flow screener'!K18,0)</f>
        <v>0</v>
      </c>
      <c r="K87" s="25">
        <f>IFERROR('cash flow screener'!L18,0)</f>
        <v>-150</v>
      </c>
      <c r="L87" s="25">
        <f>IFERROR('cash flow screener'!M18,0)</f>
        <v>0</v>
      </c>
    </row>
    <row r="88" spans="2:12" x14ac:dyDescent="0.35">
      <c r="B88" t="s">
        <v>131</v>
      </c>
      <c r="C88" s="25">
        <f>IFERROR('cash flow screener'!D19,0)</f>
        <v>0</v>
      </c>
      <c r="D88" s="25">
        <f>IFERROR('cash flow screener'!E19,0)</f>
        <v>0</v>
      </c>
      <c r="E88" s="25">
        <f>IFERROR('cash flow screener'!F19,0)</f>
        <v>14</v>
      </c>
      <c r="F88" s="25">
        <f>IFERROR('cash flow screener'!G19,0)</f>
        <v>533</v>
      </c>
      <c r="G88" s="25">
        <f>IFERROR('cash flow screener'!H19,0)</f>
        <v>0</v>
      </c>
      <c r="H88" s="25">
        <f>IFERROR('cash flow screener'!I19,0)</f>
        <v>0</v>
      </c>
      <c r="I88" s="25">
        <f>IFERROR('cash flow screener'!J19,0)</f>
        <v>0</v>
      </c>
      <c r="J88" s="25">
        <f>IFERROR('cash flow screener'!K19,0)</f>
        <v>19</v>
      </c>
      <c r="K88" s="25">
        <f>IFERROR('cash flow screener'!L19,0)</f>
        <v>107</v>
      </c>
      <c r="L88" s="25">
        <f>IFERROR('cash flow screener'!M19,0)</f>
        <v>765</v>
      </c>
    </row>
    <row r="89" spans="2:12" x14ac:dyDescent="0.35">
      <c r="B89" t="s">
        <v>132</v>
      </c>
      <c r="C89" s="25">
        <f>IFERROR('cash flow screener'!D20,0)</f>
        <v>-111</v>
      </c>
      <c r="D89" s="25">
        <f>IFERROR('cash flow screener'!E20,0)</f>
        <v>0</v>
      </c>
      <c r="E89" s="25">
        <f>IFERROR('cash flow screener'!F20,0)</f>
        <v>0</v>
      </c>
      <c r="F89" s="25">
        <f>IFERROR('cash flow screener'!G20,0)</f>
        <v>-8</v>
      </c>
      <c r="G89" s="25">
        <f>IFERROR('cash flow screener'!H20,0)</f>
        <v>-27</v>
      </c>
      <c r="H89" s="25">
        <f>IFERROR('cash flow screener'!I20,0)</f>
        <v>0</v>
      </c>
      <c r="I89" s="25">
        <f>IFERROR('cash flow screener'!J20,0)</f>
        <v>-98</v>
      </c>
      <c r="J89" s="25">
        <f>IFERROR('cash flow screener'!K20,0)</f>
        <v>0</v>
      </c>
      <c r="K89" s="25">
        <f>IFERROR('cash flow screener'!L20,0)</f>
        <v>0</v>
      </c>
      <c r="L89" s="25">
        <f>IFERROR('cash flow screener'!M20,0)</f>
        <v>-688</v>
      </c>
    </row>
    <row r="90" spans="2:12" x14ac:dyDescent="0.35">
      <c r="B90" t="s">
        <v>133</v>
      </c>
      <c r="C90" s="25">
        <f>IFERROR('cash flow screener'!D21,0)</f>
        <v>0</v>
      </c>
      <c r="D90" s="25">
        <f>IFERROR('cash flow screener'!E21,0)</f>
        <v>0</v>
      </c>
      <c r="E90" s="25">
        <f>IFERROR('cash flow screener'!F21,0)</f>
        <v>0</v>
      </c>
      <c r="F90" s="25">
        <f>IFERROR('cash flow screener'!G21,0)</f>
        <v>0</v>
      </c>
      <c r="G90" s="25">
        <f>IFERROR('cash flow screener'!H21,0)</f>
        <v>0</v>
      </c>
      <c r="H90" s="25">
        <f>IFERROR('cash flow screener'!I21,0)</f>
        <v>0</v>
      </c>
      <c r="I90" s="25">
        <f>IFERROR('cash flow screener'!J21,0)</f>
        <v>0</v>
      </c>
      <c r="J90" s="25">
        <f>IFERROR('cash flow screener'!K21,0)</f>
        <v>0</v>
      </c>
      <c r="K90" s="25">
        <f>IFERROR('cash flow screener'!L21,0)</f>
        <v>-25</v>
      </c>
      <c r="L90" s="25">
        <f>IFERROR('cash flow screener'!M21,0)</f>
        <v>-20</v>
      </c>
    </row>
    <row r="91" spans="2:12" x14ac:dyDescent="0.35">
      <c r="B91" t="s">
        <v>134</v>
      </c>
      <c r="C91" s="25">
        <f>IFERROR('cash flow screener'!D22,0)</f>
        <v>-1289</v>
      </c>
      <c r="D91" s="25">
        <f>IFERROR('cash flow screener'!E22,0)</f>
        <v>-26663</v>
      </c>
      <c r="E91" s="25">
        <f>IFERROR('cash flow screener'!F22,0)</f>
        <v>5360</v>
      </c>
      <c r="F91" s="25">
        <f>IFERROR('cash flow screener'!G22,0)</f>
        <v>7335</v>
      </c>
      <c r="G91" s="25">
        <f>IFERROR('cash flow screener'!H22,0)</f>
        <v>-2659</v>
      </c>
      <c r="H91" s="25">
        <f>IFERROR('cash flow screener'!I22,0)</f>
        <v>1051</v>
      </c>
      <c r="I91" s="25">
        <f>IFERROR('cash flow screener'!J22,0)</f>
        <v>12813</v>
      </c>
      <c r="J91" s="25">
        <f>IFERROR('cash flow screener'!K22,0)</f>
        <v>-4357</v>
      </c>
      <c r="K91" s="25">
        <f>IFERROR('cash flow screener'!L22,0)</f>
        <v>-4817</v>
      </c>
      <c r="L91" s="25">
        <f>IFERROR('cash flow screener'!M22,0)</f>
        <v>-2889</v>
      </c>
    </row>
    <row r="92" spans="2:12" x14ac:dyDescent="0.35">
      <c r="B92" t="s">
        <v>135</v>
      </c>
      <c r="C92" s="25">
        <f>IFERROR('cash flow screener'!D23,0)</f>
        <v>-3795</v>
      </c>
      <c r="D92" s="25">
        <f>IFERROR('cash flow screener'!E23,0)</f>
        <v>6205</v>
      </c>
      <c r="E92" s="25">
        <f>IFERROR('cash flow screener'!F23,0)</f>
        <v>2012</v>
      </c>
      <c r="F92" s="25">
        <f>IFERROR('cash flow screener'!G23,0)</f>
        <v>8830</v>
      </c>
      <c r="G92" s="25">
        <f>IFERROR('cash flow screener'!H23,0)</f>
        <v>3390</v>
      </c>
      <c r="H92" s="25">
        <f>IFERROR('cash flow screener'!I23,0)</f>
        <v>9904</v>
      </c>
      <c r="I92" s="25">
        <f>IFERROR('cash flow screener'!J23,0)</f>
        <v>-3380</v>
      </c>
      <c r="J92" s="25">
        <f>IFERROR('cash flow screener'!K23,0)</f>
        <v>-26243</v>
      </c>
      <c r="K92" s="25">
        <f>IFERROR('cash flow screener'!L23,0)</f>
        <v>-37006</v>
      </c>
      <c r="L92" s="25">
        <f>IFERROR('cash flow screener'!M23,0)</f>
        <v>-18786</v>
      </c>
    </row>
    <row r="93" spans="2:12" x14ac:dyDescent="0.35">
      <c r="B93" s="41" t="s">
        <v>136</v>
      </c>
      <c r="C93" s="25">
        <f>SUM(C81:C92)</f>
        <v>-40489</v>
      </c>
      <c r="D93" s="25">
        <f t="shared" ref="D93:L93" si="23">SUM(D81:D92)</f>
        <v>-33367</v>
      </c>
      <c r="E93" s="25">
        <f t="shared" si="23"/>
        <v>-23128</v>
      </c>
      <c r="F93" s="25">
        <f t="shared" si="23"/>
        <v>-12049</v>
      </c>
      <c r="G93" s="25">
        <f t="shared" si="23"/>
        <v>-29726</v>
      </c>
      <c r="H93" s="25">
        <f t="shared" si="23"/>
        <v>-15767</v>
      </c>
      <c r="I93" s="25">
        <f t="shared" si="23"/>
        <v>-7822</v>
      </c>
      <c r="J93" s="25">
        <f t="shared" si="23"/>
        <v>-41662</v>
      </c>
      <c r="K93" s="25">
        <f t="shared" si="23"/>
        <v>-59787</v>
      </c>
      <c r="L93" s="25">
        <f t="shared" si="23"/>
        <v>-68768</v>
      </c>
    </row>
    <row r="95" spans="2:12" x14ac:dyDescent="0.35">
      <c r="B95" s="41" t="s">
        <v>137</v>
      </c>
    </row>
    <row r="96" spans="2:12" x14ac:dyDescent="0.35">
      <c r="B96" t="s">
        <v>138</v>
      </c>
      <c r="C96" s="25">
        <f>IFERROR('cash flow screener'!D24,0)</f>
        <v>7433</v>
      </c>
      <c r="D96" s="25">
        <f>IFERROR('cash flow screener'!E24,0)</f>
        <v>5</v>
      </c>
      <c r="E96" s="25">
        <f>IFERROR('cash flow screener'!F24,0)</f>
        <v>0</v>
      </c>
      <c r="F96" s="25">
        <f>IFERROR('cash flow screener'!G24,0)</f>
        <v>0</v>
      </c>
      <c r="G96" s="25">
        <f>IFERROR('cash flow screener'!H24,0)</f>
        <v>3889</v>
      </c>
      <c r="H96" s="25">
        <f>IFERROR('cash flow screener'!I24,0)</f>
        <v>2603</v>
      </c>
      <c r="I96" s="25">
        <f>IFERROR('cash flow screener'!J24,0)</f>
        <v>19</v>
      </c>
      <c r="J96" s="25">
        <f>IFERROR('cash flow screener'!K24,0)</f>
        <v>20</v>
      </c>
      <c r="K96" s="25">
        <f>IFERROR('cash flow screener'!L24,0)</f>
        <v>82</v>
      </c>
      <c r="L96" s="25">
        <f>IFERROR('cash flow screener'!M24,0)</f>
        <v>1108</v>
      </c>
    </row>
    <row r="97" spans="2:12" x14ac:dyDescent="0.35">
      <c r="B97" t="s">
        <v>139</v>
      </c>
      <c r="C97" s="25">
        <f>IFERROR('cash flow screener'!D25,0)</f>
        <v>0</v>
      </c>
      <c r="D97" s="25">
        <f>IFERROR('cash flow screener'!E25,0)</f>
        <v>0</v>
      </c>
      <c r="E97" s="25">
        <f>IFERROR('cash flow screener'!F25,0)</f>
        <v>0</v>
      </c>
      <c r="F97" s="25">
        <f>IFERROR('cash flow screener'!G25,0)</f>
        <v>0</v>
      </c>
      <c r="G97" s="25">
        <f>IFERROR('cash flow screener'!H25,0)</f>
        <v>0</v>
      </c>
      <c r="H97" s="25">
        <f>IFERROR('cash flow screener'!I25,0)</f>
        <v>0</v>
      </c>
      <c r="I97" s="25">
        <f>IFERROR('cash flow screener'!J25,0)</f>
        <v>0</v>
      </c>
      <c r="J97" s="25">
        <f>IFERROR('cash flow screener'!K25,0)</f>
        <v>0</v>
      </c>
      <c r="K97" s="25">
        <f>IFERROR('cash flow screener'!L25,0)</f>
        <v>0</v>
      </c>
      <c r="L97" s="25">
        <f>IFERROR('cash flow screener'!M25,0)</f>
        <v>0</v>
      </c>
    </row>
    <row r="98" spans="2:12" x14ac:dyDescent="0.35">
      <c r="B98" t="s">
        <v>140</v>
      </c>
      <c r="C98" s="25">
        <f>IFERROR('cash flow screener'!D26,0)</f>
        <v>19519</v>
      </c>
      <c r="D98" s="25">
        <f>IFERROR('cash flow screener'!E26,0)</f>
        <v>33390</v>
      </c>
      <c r="E98" s="25">
        <f>IFERROR('cash flow screener'!F26,0)</f>
        <v>37482</v>
      </c>
      <c r="F98" s="25">
        <f>IFERROR('cash flow screener'!G26,0)</f>
        <v>51128</v>
      </c>
      <c r="G98" s="25">
        <f>IFERROR('cash flow screener'!H26,0)</f>
        <v>38297</v>
      </c>
      <c r="H98" s="25">
        <f>IFERROR('cash flow screener'!I26,0)</f>
        <v>46641</v>
      </c>
      <c r="I98" s="25">
        <f>IFERROR('cash flow screener'!J26,0)</f>
        <v>46578</v>
      </c>
      <c r="J98" s="25">
        <f>IFERROR('cash flow screener'!K26,0)</f>
        <v>43934</v>
      </c>
      <c r="K98" s="25">
        <f>IFERROR('cash flow screener'!L26,0)</f>
        <v>18829</v>
      </c>
      <c r="L98" s="25">
        <f>IFERROR('cash flow screener'!M26,0)</f>
        <v>13384</v>
      </c>
    </row>
    <row r="99" spans="2:12" x14ac:dyDescent="0.35">
      <c r="B99" t="s">
        <v>141</v>
      </c>
      <c r="C99" s="25">
        <f>IFERROR('cash flow screener'!D27,0)</f>
        <v>-24924</v>
      </c>
      <c r="D99" s="25">
        <f>IFERROR('cash flow screener'!E27,0)</f>
        <v>-21732</v>
      </c>
      <c r="E99" s="25">
        <f>IFERROR('cash flow screener'!F27,0)</f>
        <v>-29964</v>
      </c>
      <c r="F99" s="25">
        <f>IFERROR('cash flow screener'!G27,0)</f>
        <v>-35198</v>
      </c>
      <c r="G99" s="25">
        <f>IFERROR('cash flow screener'!H27,0)</f>
        <v>-29847</v>
      </c>
      <c r="H99" s="25">
        <f>IFERROR('cash flow screener'!I27,0)</f>
        <v>-29709</v>
      </c>
      <c r="I99" s="25">
        <f>IFERROR('cash flow screener'!J27,0)</f>
        <v>-42816</v>
      </c>
      <c r="J99" s="25">
        <f>IFERROR('cash flow screener'!K27,0)</f>
        <v>-62557</v>
      </c>
      <c r="K99" s="25">
        <f>IFERROR('cash flow screener'!L27,0)</f>
        <v>-47414</v>
      </c>
      <c r="L99" s="25">
        <f>IFERROR('cash flow screener'!M27,0)</f>
        <v>-21443</v>
      </c>
    </row>
    <row r="100" spans="2:12" x14ac:dyDescent="0.35">
      <c r="B100" t="s">
        <v>142</v>
      </c>
      <c r="C100" s="25">
        <f>IFERROR('cash flow screener'!D28,0)</f>
        <v>-5716</v>
      </c>
      <c r="D100" s="25">
        <f>IFERROR('cash flow screener'!E28,0)</f>
        <v>-5336</v>
      </c>
      <c r="E100" s="25">
        <f>IFERROR('cash flow screener'!F28,0)</f>
        <v>-5411</v>
      </c>
      <c r="F100" s="25">
        <f>IFERROR('cash flow screener'!G28,0)</f>
        <v>-7005</v>
      </c>
      <c r="G100" s="25">
        <f>IFERROR('cash flow screener'!H28,0)</f>
        <v>-7518</v>
      </c>
      <c r="H100" s="25">
        <f>IFERROR('cash flow screener'!I28,0)</f>
        <v>-8123</v>
      </c>
      <c r="I100" s="25">
        <f>IFERROR('cash flow screener'!J28,0)</f>
        <v>-9251</v>
      </c>
      <c r="J100" s="25">
        <f>IFERROR('cash flow screener'!K28,0)</f>
        <v>-9336</v>
      </c>
      <c r="K100" s="25">
        <f>IFERROR('cash flow screener'!L28,0)</f>
        <v>-9332</v>
      </c>
      <c r="L100" s="25">
        <f>IFERROR('cash flow screener'!M28,0)</f>
        <v>-5814</v>
      </c>
    </row>
    <row r="101" spans="2:12" x14ac:dyDescent="0.35">
      <c r="B101" t="s">
        <v>143</v>
      </c>
      <c r="C101" s="25">
        <f>IFERROR('cash flow screener'!D29,0)</f>
        <v>-108</v>
      </c>
      <c r="D101" s="25">
        <f>IFERROR('cash flow screener'!E29,0)</f>
        <v>-121</v>
      </c>
      <c r="E101" s="25">
        <f>IFERROR('cash flow screener'!F29,0)</f>
        <v>-96</v>
      </c>
      <c r="F101" s="25">
        <f>IFERROR('cash flow screener'!G29,0)</f>
        <v>-95</v>
      </c>
      <c r="G101" s="25">
        <f>IFERROR('cash flow screener'!H29,0)</f>
        <v>-57</v>
      </c>
      <c r="H101" s="25">
        <f>IFERROR('cash flow screener'!I29,0)</f>
        <v>-30</v>
      </c>
      <c r="I101" s="25">
        <f>IFERROR('cash flow screener'!J29,0)</f>
        <v>-100</v>
      </c>
      <c r="J101" s="25">
        <f>IFERROR('cash flow screener'!K29,0)</f>
        <v>-141</v>
      </c>
      <c r="K101" s="25">
        <f>IFERROR('cash flow screener'!L29,0)</f>
        <v>-1059</v>
      </c>
      <c r="L101" s="25">
        <f>IFERROR('cash flow screener'!M29,0)</f>
        <v>-2492</v>
      </c>
    </row>
    <row r="102" spans="2:12" x14ac:dyDescent="0.35">
      <c r="B102" t="s">
        <v>144</v>
      </c>
      <c r="C102" s="25">
        <f>IFERROR('cash flow screener'!D30,0)</f>
        <v>0</v>
      </c>
      <c r="D102" s="25">
        <f>IFERROR('cash flow screener'!E30,0)</f>
        <v>0</v>
      </c>
      <c r="E102" s="25">
        <f>IFERROR('cash flow screener'!F30,0)</f>
        <v>0</v>
      </c>
      <c r="F102" s="25">
        <f>IFERROR('cash flow screener'!G30,0)</f>
        <v>0</v>
      </c>
      <c r="G102" s="25">
        <f>IFERROR('cash flow screener'!H30,0)</f>
        <v>-1346</v>
      </c>
      <c r="H102" s="25">
        <f>IFERROR('cash flow screener'!I30,0)</f>
        <v>-1477</v>
      </c>
      <c r="I102" s="25">
        <f>IFERROR('cash flow screener'!J30,0)</f>
        <v>-1559</v>
      </c>
      <c r="J102" s="25">
        <f>IFERROR('cash flow screener'!K30,0)</f>
        <v>-1517</v>
      </c>
      <c r="K102" s="25">
        <f>IFERROR('cash flow screener'!L30,0)</f>
        <v>-1924</v>
      </c>
      <c r="L102" s="25">
        <f>IFERROR('cash flow screener'!M30,0)</f>
        <v>-2393</v>
      </c>
    </row>
    <row r="103" spans="2:12" x14ac:dyDescent="0.35">
      <c r="B103" t="s">
        <v>145</v>
      </c>
      <c r="C103" s="25">
        <f>IFERROR('cash flow screener'!D31,0)</f>
        <v>0</v>
      </c>
      <c r="D103" s="25">
        <f>IFERROR('cash flow screener'!E31,0)</f>
        <v>0</v>
      </c>
      <c r="E103" s="25">
        <f>IFERROR('cash flow screener'!F31,0)</f>
        <v>0</v>
      </c>
      <c r="F103" s="25">
        <f>IFERROR('cash flow screener'!G31,0)</f>
        <v>0</v>
      </c>
      <c r="G103" s="25">
        <f>IFERROR('cash flow screener'!H31,0)</f>
        <v>-29</v>
      </c>
      <c r="H103" s="25">
        <f>IFERROR('cash flow screener'!I31,0)</f>
        <v>0</v>
      </c>
      <c r="I103" s="25">
        <f>IFERROR('cash flow screener'!J31,0)</f>
        <v>3750</v>
      </c>
      <c r="J103" s="25">
        <f>IFERROR('cash flow screener'!K31,0)</f>
        <v>3355</v>
      </c>
      <c r="K103" s="25">
        <f>IFERROR('cash flow screener'!L31,0)</f>
        <v>3812</v>
      </c>
      <c r="L103" s="25">
        <f>IFERROR('cash flow screener'!M31,0)</f>
        <v>-1136</v>
      </c>
    </row>
    <row r="104" spans="2:12" x14ac:dyDescent="0.35">
      <c r="B104" t="s">
        <v>146</v>
      </c>
      <c r="C104" s="25">
        <f>IFERROR('cash flow screener'!D32,0)</f>
        <v>-2589</v>
      </c>
      <c r="D104" s="25">
        <f>IFERROR('cash flow screener'!E32,0)</f>
        <v>-3167</v>
      </c>
      <c r="E104" s="25">
        <f>IFERROR('cash flow screener'!F32,0)</f>
        <v>730</v>
      </c>
      <c r="F104" s="25">
        <f>IFERROR('cash flow screener'!G32,0)</f>
        <v>6843</v>
      </c>
      <c r="G104" s="25">
        <f>IFERROR('cash flow screener'!H32,0)</f>
        <v>-3092</v>
      </c>
      <c r="H104" s="25">
        <f>IFERROR('cash flow screener'!I32,0)</f>
        <v>13232</v>
      </c>
      <c r="I104" s="25">
        <f>IFERROR('cash flow screener'!J32,0)</f>
        <v>6459</v>
      </c>
      <c r="J104" s="25">
        <f>IFERROR('cash flow screener'!K32,0)</f>
        <v>-6272</v>
      </c>
      <c r="K104" s="25">
        <f>IFERROR('cash flow screener'!L32,0)</f>
        <v>8128</v>
      </c>
      <c r="L104" s="25">
        <f>IFERROR('cash flow screener'!M32,0)</f>
        <v>-5666</v>
      </c>
    </row>
    <row r="105" spans="2:12" x14ac:dyDescent="0.35">
      <c r="B105" s="41" t="s">
        <v>147</v>
      </c>
      <c r="C105" s="25">
        <f>SUM(C96:C104)</f>
        <v>-6385</v>
      </c>
      <c r="D105" s="25">
        <f t="shared" ref="D105:L105" si="24">SUM(D96:D104)</f>
        <v>3039</v>
      </c>
      <c r="E105" s="25">
        <f t="shared" si="24"/>
        <v>2741</v>
      </c>
      <c r="F105" s="25">
        <f t="shared" si="24"/>
        <v>15673</v>
      </c>
      <c r="G105" s="25">
        <f t="shared" si="24"/>
        <v>297</v>
      </c>
      <c r="H105" s="25">
        <f t="shared" si="24"/>
        <v>23137</v>
      </c>
      <c r="I105" s="25">
        <f t="shared" si="24"/>
        <v>3080</v>
      </c>
      <c r="J105" s="25">
        <f t="shared" si="24"/>
        <v>-32514</v>
      </c>
      <c r="K105" s="25">
        <f t="shared" si="24"/>
        <v>-28878</v>
      </c>
      <c r="L105" s="25">
        <f t="shared" si="24"/>
        <v>-24452</v>
      </c>
    </row>
    <row r="107" spans="2:12" x14ac:dyDescent="0.35">
      <c r="B107" s="41" t="s">
        <v>35</v>
      </c>
      <c r="C107" s="25">
        <f>IFERROR(C78+C93+C105,0)</f>
        <v>-7662</v>
      </c>
      <c r="D107" s="25">
        <f t="shared" ref="D107:L107" si="25">IFERROR(D78+D93+D105,0)</f>
        <v>3126</v>
      </c>
      <c r="E107" s="25">
        <f t="shared" si="25"/>
        <v>-2964</v>
      </c>
      <c r="F107" s="25">
        <f t="shared" si="25"/>
        <v>15295</v>
      </c>
      <c r="G107" s="25">
        <f t="shared" si="25"/>
        <v>2269</v>
      </c>
      <c r="H107" s="25">
        <f t="shared" si="25"/>
        <v>36277</v>
      </c>
      <c r="I107" s="25">
        <f t="shared" si="25"/>
        <v>-1210</v>
      </c>
      <c r="J107" s="25">
        <f t="shared" si="25"/>
        <v>-41915</v>
      </c>
      <c r="K107" s="25">
        <f t="shared" si="25"/>
        <v>-13425</v>
      </c>
      <c r="L107" s="25">
        <f t="shared" si="25"/>
        <v>-21962</v>
      </c>
    </row>
  </sheetData>
  <mergeCells count="1">
    <mergeCell ref="B2:M2"/>
  </mergeCells>
  <pageMargins left="0.7" right="0.7" top="0.75" bottom="0.75" header="0.3" footer="0.3"/>
  <ignoredErrors>
    <ignoredError sqref="M9 M21 M3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8051-E0FB-48BC-BA34-44C1AFC8809C}">
  <sheetPr>
    <tabColor rgb="FF002060"/>
  </sheetPr>
  <dimension ref="A2:O40"/>
  <sheetViews>
    <sheetView showGridLines="0" workbookViewId="0">
      <pane ySplit="3" topLeftCell="A4" activePane="bottomLeft" state="frozen"/>
      <selection pane="bottomLeft" activeCell="B2" sqref="B2:L3"/>
    </sheetView>
  </sheetViews>
  <sheetFormatPr defaultRowHeight="14.5" x14ac:dyDescent="0.35"/>
  <cols>
    <col min="1" max="1" width="1.81640625" style="45" customWidth="1"/>
    <col min="2" max="2" width="34.1796875" customWidth="1"/>
    <col min="13" max="13" width="14.54296875" customWidth="1"/>
    <col min="14" max="15" width="10.81640625" bestFit="1" customWidth="1"/>
  </cols>
  <sheetData>
    <row r="2" spans="2:15" ht="18.5" x14ac:dyDescent="0.45">
      <c r="B2" s="80" t="str">
        <f>"Ratio Analysis - "&amp;'Data Sheet'!B1</f>
        <v>Ratio Analysis - TATA MOTORS LTD</v>
      </c>
      <c r="C2" s="80"/>
      <c r="D2" s="80"/>
      <c r="E2" s="80"/>
      <c r="F2" s="80"/>
      <c r="G2" s="80"/>
      <c r="H2" s="80"/>
      <c r="I2" s="80"/>
      <c r="J2" s="80"/>
      <c r="K2" s="80"/>
      <c r="L2" s="80"/>
      <c r="M2" s="23"/>
      <c r="N2" s="23"/>
      <c r="O2" s="23"/>
    </row>
    <row r="3" spans="2:15" x14ac:dyDescent="0.35">
      <c r="B3" s="22" t="s">
        <v>81</v>
      </c>
      <c r="C3" s="23">
        <f>'Data Sheet'!B16</f>
        <v>42460</v>
      </c>
      <c r="D3" s="23">
        <f>'Data Sheet'!C16</f>
        <v>42825</v>
      </c>
      <c r="E3" s="23">
        <f>'Data Sheet'!D16</f>
        <v>43190</v>
      </c>
      <c r="F3" s="23">
        <f>'Data Sheet'!E16</f>
        <v>43555</v>
      </c>
      <c r="G3" s="23">
        <f>'Data Sheet'!F16</f>
        <v>43921</v>
      </c>
      <c r="H3" s="23">
        <f>'Data Sheet'!G16</f>
        <v>44286</v>
      </c>
      <c r="I3" s="23">
        <f>'Data Sheet'!H16</f>
        <v>44651</v>
      </c>
      <c r="J3" s="23">
        <f>'Data Sheet'!I16</f>
        <v>45016</v>
      </c>
      <c r="K3" s="23">
        <f>'Data Sheet'!J16</f>
        <v>45382</v>
      </c>
      <c r="L3" s="23">
        <f>'Data Sheet'!K16</f>
        <v>45747</v>
      </c>
      <c r="M3" s="59" t="s">
        <v>181</v>
      </c>
      <c r="N3" s="23" t="s">
        <v>179</v>
      </c>
      <c r="O3" s="59" t="s">
        <v>180</v>
      </c>
    </row>
    <row r="4" spans="2:15" x14ac:dyDescent="0.35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2:15" x14ac:dyDescent="0.35">
      <c r="B5" s="48" t="s">
        <v>22</v>
      </c>
      <c r="C5" s="48"/>
      <c r="D5" s="49">
        <f>IFERROR(HistoricalFs!D7,0)</f>
        <v>-1.2280329732469508E-2</v>
      </c>
      <c r="E5" s="49">
        <f>IFERROR(HistoricalFs!E7,0)</f>
        <v>8.104774581985974E-2</v>
      </c>
      <c r="F5" s="49">
        <f>IFERROR(HistoricalFs!F7,0)</f>
        <v>3.5629919045237157E-2</v>
      </c>
      <c r="G5" s="49">
        <f>IFERROR(HistoricalFs!G7,0)</f>
        <v>-0.135360159555724</v>
      </c>
      <c r="H5" s="49">
        <f>IFERROR(HistoricalFs!H7,0)</f>
        <v>-4.3181168490336042E-2</v>
      </c>
      <c r="I5" s="49">
        <f>IFERROR(HistoricalFs!I7,0)</f>
        <v>0.11472967306158344</v>
      </c>
      <c r="J5" s="49">
        <f>IFERROR(HistoricalFs!J7,0)</f>
        <v>0.24245815155859707</v>
      </c>
      <c r="K5" s="49">
        <f>IFERROR(HistoricalFs!K7,0)</f>
        <v>0.25450126062612277</v>
      </c>
      <c r="L5" s="49">
        <f>IFERROR(HistoricalFs!L7,0)</f>
        <v>1.3084771068347711E-2</v>
      </c>
      <c r="M5" s="49"/>
      <c r="N5" s="49">
        <f>IFERROR(AVERAGE(D5:L5),)</f>
        <v>6.1181095933468703E-2</v>
      </c>
      <c r="O5" s="49">
        <f>IFERROR(MEDIAN(C5:L5),0)</f>
        <v>3.5629919045237157E-2</v>
      </c>
    </row>
    <row r="6" spans="2:15" x14ac:dyDescent="0.35">
      <c r="B6" t="s">
        <v>151</v>
      </c>
      <c r="D6" s="50">
        <f>IFERROR(HistoricalFs!D18/HistoricalFs!C18-1,0)</f>
        <v>-0.8280081601910837</v>
      </c>
      <c r="E6" s="50">
        <f>IFERROR(HistoricalFs!E18/HistoricalFs!D18-1,0)</f>
        <v>1.577003220879758</v>
      </c>
      <c r="F6" s="50">
        <f>IFERROR(HistoricalFs!F18/HistoricalFs!E18-1,0)</f>
        <v>2.3525323935364346</v>
      </c>
      <c r="G6" s="50">
        <f>IFERROR(HistoricalFs!G18/HistoricalFs!F18-1,0)</f>
        <v>-0.42175899760894564</v>
      </c>
      <c r="H6" s="50">
        <f>IFERROR(HistoricalFs!H18/HistoricalFs!G18-1,0)</f>
        <v>-0.86943587663566058</v>
      </c>
      <c r="I6" s="50">
        <f>IFERROR(HistoricalFs!I18/HistoricalFs!H18-1,0)</f>
        <v>-7.1165607192369729</v>
      </c>
      <c r="J6" s="50">
        <f>IFERROR(HistoricalFs!J18/HistoricalFs!I18-1,0)</f>
        <v>6.7353357434218664E-2</v>
      </c>
      <c r="K6" s="50">
        <f>IFERROR(HistoricalFs!K18/HistoricalFs!J18-1,0)</f>
        <v>-2.8250702400804513</v>
      </c>
      <c r="L6" s="50">
        <f>IFERROR(HistoricalFs!L18/HistoricalFs!K18-1,0)</f>
        <v>6.7055161007880146</v>
      </c>
      <c r="M6" s="50"/>
      <c r="N6" s="50">
        <f t="shared" ref="N6:N9" si="0">IFERROR(AVERAGE(D6:L6),)</f>
        <v>-0.15093654679052085</v>
      </c>
      <c r="O6" s="50">
        <f t="shared" ref="O6:O40" si="1">IFERROR(MEDIAN(C6:L6),0)</f>
        <v>-0.42175899760894564</v>
      </c>
    </row>
    <row r="7" spans="2:15" x14ac:dyDescent="0.35">
      <c r="B7" t="s">
        <v>153</v>
      </c>
      <c r="D7" s="50">
        <f>IFERROR(HistoricalFs!D27/HistoricalFs!C27-1,0)</f>
        <v>-1.1700706677017383</v>
      </c>
      <c r="E7" s="50">
        <f>IFERROR(HistoricalFs!E27/HistoricalFs!D27-1,0)</f>
        <v>-2.225038555242552</v>
      </c>
      <c r="F7" s="50">
        <f>IFERROR(HistoricalFs!F27/HistoricalFs!E27-1,0)</f>
        <v>6.8115428333965067</v>
      </c>
      <c r="G7" s="50">
        <f>IFERROR(HistoricalFs!G27/HistoricalFs!F27-1,0)</f>
        <v>-0.57656378141359776</v>
      </c>
      <c r="H7" s="50">
        <f>IFERROR(HistoricalFs!H27/HistoricalFs!G27-1,0)</f>
        <v>-1.5767970155887654</v>
      </c>
      <c r="I7" s="50">
        <f>IFERROR(HistoricalFs!I27/HistoricalFs!H27-1,0)</f>
        <v>2.8684471355055723</v>
      </c>
      <c r="J7" s="50">
        <f>IFERROR(HistoricalFs!J27/HistoricalFs!I27-1,0)</f>
        <v>5.0193284030527918E-2</v>
      </c>
      <c r="K7" s="50">
        <f>IFERROR(HistoricalFs!K27/HistoricalFs!J27-1,0)</f>
        <v>-1.8650844855177977</v>
      </c>
      <c r="L7" s="50">
        <f>IFERROR(HistoricalFs!L27/HistoricalFs!K27-1,0)</f>
        <v>9.0423675850216139</v>
      </c>
      <c r="M7" s="50"/>
      <c r="N7" s="50">
        <f t="shared" si="0"/>
        <v>1.2621107036099746</v>
      </c>
      <c r="O7" s="50">
        <f t="shared" si="1"/>
        <v>-0.57656378141359776</v>
      </c>
    </row>
    <row r="8" spans="2:15" x14ac:dyDescent="0.35">
      <c r="B8" t="s">
        <v>154</v>
      </c>
      <c r="D8" s="50">
        <f>IFERROR(HistoricalFs!D33/HistoricalFs!C33-1,0)</f>
        <v>-1.3239979120485172</v>
      </c>
      <c r="E8" s="50">
        <f>IFERROR(HistoricalFs!E33/HistoricalFs!D33-1,0)</f>
        <v>-1.1747666640593242</v>
      </c>
      <c r="F8" s="50">
        <f>IFERROR(HistoricalFs!F33/HistoricalFs!E33-1,0)</f>
        <v>33.055440855868689</v>
      </c>
      <c r="G8" s="50">
        <f>IFERROR(HistoricalFs!G33/HistoricalFs!F33-1,0)</f>
        <v>-0.60681996047112463</v>
      </c>
      <c r="H8" s="50">
        <f>IFERROR(HistoricalFs!H33/HistoricalFs!G33-1,0)</f>
        <v>-1.7261263971465104</v>
      </c>
      <c r="I8" s="50">
        <f>IFERROR(HistoricalFs!I33/HistoricalFs!H33-1,0)</f>
        <v>2.452533565181759</v>
      </c>
      <c r="J8" s="50">
        <f>IFERROR(HistoricalFs!J33/HistoricalFs!I33-1,0)</f>
        <v>-3.0227293401452804E-2</v>
      </c>
      <c r="K8" s="50">
        <f>IFERROR(HistoricalFs!K33/HistoricalFs!J33-1,0)</f>
        <v>-1.9408117511658691</v>
      </c>
      <c r="L8" s="50">
        <f>IFERROR(HistoricalFs!L33/HistoricalFs!K33-1,0)</f>
        <v>7.8423372460283787</v>
      </c>
      <c r="M8" s="50"/>
      <c r="N8" s="50">
        <f t="shared" si="0"/>
        <v>4.0608401876428921</v>
      </c>
      <c r="O8" s="50">
        <f t="shared" si="1"/>
        <v>-0.60681996047112463</v>
      </c>
    </row>
    <row r="9" spans="2:15" x14ac:dyDescent="0.35">
      <c r="B9" s="51" t="s">
        <v>155</v>
      </c>
      <c r="C9" s="51"/>
      <c r="D9" s="52">
        <f>IFERROR(HistoricalFs!D41/HistoricalFs!C41-1,0)</f>
        <v>-1</v>
      </c>
      <c r="E9" s="52">
        <f>IFERROR(HistoricalFs!E41/HistoricalFs!D41-1,0)</f>
        <v>0</v>
      </c>
      <c r="F9" s="52">
        <f>IFERROR(HistoricalFs!F41/HistoricalFs!E41-1,0)</f>
        <v>0</v>
      </c>
      <c r="G9" s="52">
        <f>IFERROR(HistoricalFs!G41/HistoricalFs!F41-1,0)</f>
        <v>0</v>
      </c>
      <c r="H9" s="52">
        <f>IFERROR(HistoricalFs!H41/HistoricalFs!G41-1,0)</f>
        <v>0</v>
      </c>
      <c r="I9" s="52">
        <f>IFERROR(HistoricalFs!I41/HistoricalFs!H41-1,0)</f>
        <v>0</v>
      </c>
      <c r="J9" s="52">
        <f>IFERROR(HistoricalFs!J41/HistoricalFs!I41-1,0)</f>
        <v>0</v>
      </c>
      <c r="K9" s="52">
        <f>IFERROR(HistoricalFs!K41/HistoricalFs!J41-1,0)</f>
        <v>2.0016689880185949</v>
      </c>
      <c r="L9" s="52">
        <f>IFERROR(HistoricalFs!L41/HistoricalFs!K41-1,0)</f>
        <v>-0.1336306958339889</v>
      </c>
      <c r="M9" s="52"/>
      <c r="N9" s="52">
        <f t="shared" si="0"/>
        <v>9.6448699131622892E-2</v>
      </c>
      <c r="O9" s="52">
        <f t="shared" si="1"/>
        <v>0</v>
      </c>
    </row>
    <row r="10" spans="2:15" x14ac:dyDescent="0.35">
      <c r="O10" s="46"/>
    </row>
    <row r="11" spans="2:15" x14ac:dyDescent="0.35">
      <c r="B11" s="48" t="s">
        <v>152</v>
      </c>
      <c r="C11" s="49">
        <f>IFERROR(HistoricalFs!C13,0)</f>
        <v>0.24754605091603754</v>
      </c>
      <c r="D11" s="49">
        <f>IFERROR(HistoricalFs!D13,0)</f>
        <v>0.15299898391690603</v>
      </c>
      <c r="E11" s="49">
        <f>IFERROR(HistoricalFs!E13,0)</f>
        <v>0.16705494705410873</v>
      </c>
      <c r="F11" s="49">
        <f>IFERROR(HistoricalFs!F13,0)</f>
        <v>0.30324837781481251</v>
      </c>
      <c r="G11" s="49">
        <f>IFERROR(HistoricalFs!G13,0)</f>
        <v>0.2518192101466909</v>
      </c>
      <c r="H11" s="49">
        <f>IFERROR(HistoricalFs!H13,0)</f>
        <v>0.1060660402190199</v>
      </c>
      <c r="I11" s="49">
        <f>IFERROR(HistoricalFs!I13,0)</f>
        <v>1.4544540667131501E-2</v>
      </c>
      <c r="J11" s="49">
        <f>IFERROR(HistoricalFs!J13,0)</f>
        <v>3.3491549785807512E-2</v>
      </c>
      <c r="K11" s="49">
        <f>IFERROR(HistoricalFs!K13,0)</f>
        <v>0.21475475558504756</v>
      </c>
      <c r="L11" s="49">
        <f>IFERROR(HistoricalFs!L13,0)</f>
        <v>1</v>
      </c>
      <c r="M11" s="49"/>
      <c r="N11" s="49">
        <f>IFERROR(AVERAGE(C11:L11),0)</f>
        <v>0.24915244561055622</v>
      </c>
      <c r="O11" s="49">
        <f t="shared" si="1"/>
        <v>0.19090485131957813</v>
      </c>
    </row>
    <row r="12" spans="2:15" x14ac:dyDescent="0.35">
      <c r="B12" t="s">
        <v>156</v>
      </c>
      <c r="C12" s="50">
        <f>IFERROR(HistoricalFs!C19,0)</f>
        <v>0.14081926242356596</v>
      </c>
      <c r="D12" s="50">
        <f>IFERROR(HistoricalFs!D19,0)</f>
        <v>2.4520888622379687E-2</v>
      </c>
      <c r="E12" s="50">
        <f>IFERROR(HistoricalFs!E19,0)</f>
        <v>5.8452930689738475E-2</v>
      </c>
      <c r="F12" s="50">
        <f>IFERROR(HistoricalFs!F19,0)</f>
        <v>0.18922333164645497</v>
      </c>
      <c r="G12" s="50">
        <f>IFERROR(HistoricalFs!G19,0)</f>
        <v>0.12654597191681535</v>
      </c>
      <c r="H12" s="50">
        <f>IFERROR(HistoricalFs!H19,0)</f>
        <v>1.7268017041991546E-2</v>
      </c>
      <c r="I12" s="50">
        <f>IFERROR(HistoricalFs!I19,0)</f>
        <v>-9.4750213698065841E-2</v>
      </c>
      <c r="J12" s="50">
        <f>IFERROR(HistoricalFs!J19,0)</f>
        <v>-8.139667205802921E-2</v>
      </c>
      <c r="K12" s="50">
        <f>IFERROR(HistoricalFs!K19,0)</f>
        <v>0.11841729337167294</v>
      </c>
      <c r="L12" s="50">
        <f>IFERROR(HistoricalFs!L19,0)</f>
        <v>0.90068115398173731</v>
      </c>
      <c r="M12" s="50"/>
      <c r="N12" s="50">
        <f t="shared" ref="N12:N40" si="2">IFERROR(AVERAGE(C12:L12),0)</f>
        <v>0.13997819639382611</v>
      </c>
      <c r="O12" s="50">
        <f t="shared" si="1"/>
        <v>8.8435112030705698E-2</v>
      </c>
    </row>
    <row r="13" spans="2:15" x14ac:dyDescent="0.35">
      <c r="B13" t="s">
        <v>157</v>
      </c>
      <c r="C13" s="50">
        <f>IFERROR((HistoricalFs!C18-HistoricalFs!C24)/HistoricalFs!C6,0)</f>
        <v>0.11858202439446019</v>
      </c>
      <c r="D13" s="50">
        <f>IFERROR((HistoricalFs!D18-HistoricalFs!D24)/HistoricalFs!D6,0)</f>
        <v>-1.6207346655640509E-3</v>
      </c>
      <c r="E13" s="50">
        <f>IFERROR((HistoricalFs!E18-HistoricalFs!E24)/HistoricalFs!E6,0)</f>
        <v>3.570215353444104E-2</v>
      </c>
      <c r="F13" s="50">
        <f>IFERROR((HistoricalFs!F18-HistoricalFs!F24)/HistoricalFs!F6,0)</f>
        <v>0.16724202685050985</v>
      </c>
      <c r="G13" s="50">
        <f>IFERROR((HistoricalFs!G18-HistoricalFs!G24)/HistoricalFs!G6,0)</f>
        <v>0.10030759422536588</v>
      </c>
      <c r="H13" s="50">
        <f>IFERROR((HistoricalFs!H18-HistoricalFs!H24)/HistoricalFs!H6,0)</f>
        <v>-1.1327459844532291E-2</v>
      </c>
      <c r="I13" s="50">
        <f>IFERROR((HistoricalFs!I18-HistoricalFs!I24)/HistoricalFs!I6,0)</f>
        <v>-0.1183591723461883</v>
      </c>
      <c r="J13" s="50">
        <f>IFERROR((HistoricalFs!J18-HistoricalFs!J24)/HistoricalFs!J6,0)</f>
        <v>-9.8753820343023005E-2</v>
      </c>
      <c r="K13" s="50">
        <f>IFERROR((HistoricalFs!K18-HistoricalFs!K24)/HistoricalFs!K6,0)</f>
        <v>0.10597765980977659</v>
      </c>
      <c r="L13" s="50">
        <f>IFERROR((HistoricalFs!L18-HistoricalFs!L24)/HistoricalFs!L6,0)</f>
        <v>0.8886387154732257</v>
      </c>
      <c r="M13" s="50"/>
      <c r="N13" s="50">
        <f t="shared" si="2"/>
        <v>0.11863889870884717</v>
      </c>
      <c r="O13" s="50">
        <f t="shared" si="1"/>
        <v>6.8004873879903449E-2</v>
      </c>
    </row>
    <row r="14" spans="2:15" x14ac:dyDescent="0.35">
      <c r="B14" t="s">
        <v>158</v>
      </c>
      <c r="C14" s="50">
        <f>IFERROR(HistoricalFs!C28,0)</f>
        <v>0.10067629729246697</v>
      </c>
      <c r="D14" s="50">
        <f>IFERROR(HistoricalFs!D28,0)</f>
        <v>-1.7334964178278362E-2</v>
      </c>
      <c r="E14" s="50">
        <f>IFERROR(HistoricalFs!E28,0)</f>
        <v>1.9643905233838001E-2</v>
      </c>
      <c r="F14" s="50">
        <f>IFERROR(HistoricalFs!F28,0)</f>
        <v>0.14816992472636797</v>
      </c>
      <c r="G14" s="50">
        <f>IFERROR(HistoricalFs!G28,0)</f>
        <v>7.2562597395613063E-2</v>
      </c>
      <c r="H14" s="50">
        <f>IFERROR(HistoricalFs!H28,0)</f>
        <v>-4.3742752800048773E-2</v>
      </c>
      <c r="I14" s="50">
        <f>IFERROR(HistoricalFs!I28,0)</f>
        <v>-0.15180050451489918</v>
      </c>
      <c r="J14" s="50">
        <f>IFERROR(HistoricalFs!J28,0)</f>
        <v>-0.12831005225730083</v>
      </c>
      <c r="K14" s="50">
        <f>IFERROR(HistoricalFs!K28,0)</f>
        <v>8.8480609009806088E-2</v>
      </c>
      <c r="L14" s="50">
        <f>IFERROR(HistoricalFs!L28,0)</f>
        <v>0.87707842936581037</v>
      </c>
      <c r="M14" s="50"/>
      <c r="N14" s="50">
        <f t="shared" si="2"/>
        <v>9.6542348927337526E-2</v>
      </c>
      <c r="O14" s="50">
        <f t="shared" si="1"/>
        <v>4.6103251314725535E-2</v>
      </c>
    </row>
    <row r="15" spans="2:15" x14ac:dyDescent="0.35">
      <c r="B15" s="51" t="s">
        <v>159</v>
      </c>
      <c r="C15" s="52">
        <f>IFERROR(HistoricalFs!C34,0)</f>
        <v>8.95973786063574E-2</v>
      </c>
      <c r="D15" s="52">
        <f>IFERROR(HistoricalFs!D34,0)</f>
        <v>-2.9390285996448245E-2</v>
      </c>
      <c r="E15" s="52">
        <f>IFERROR(HistoricalFs!E34,0)</f>
        <v>4.7513555800010356E-3</v>
      </c>
      <c r="F15" s="52">
        <f>IFERROR(HistoricalFs!F34,0)</f>
        <v>0.15624259782790126</v>
      </c>
      <c r="G15" s="52">
        <f>IFERROR(HistoricalFs!G34,0)</f>
        <v>7.104862385071592E-2</v>
      </c>
      <c r="H15" s="52">
        <f>IFERROR(HistoricalFs!H34,0)</f>
        <v>-5.3918547127191359E-2</v>
      </c>
      <c r="I15" s="52">
        <f>IFERROR(HistoricalFs!I34,0)</f>
        <v>-0.16699617695758462</v>
      </c>
      <c r="J15" s="52">
        <f>IFERROR(HistoricalFs!J34,0)</f>
        <v>-0.13034510201942118</v>
      </c>
      <c r="K15" s="52">
        <f>IFERROR(HistoricalFs!K34,0)</f>
        <v>9.7752156602521567E-2</v>
      </c>
      <c r="L15" s="52">
        <f>IFERROR(HistoricalFs!L34,0)</f>
        <v>0.85319369108131771</v>
      </c>
      <c r="M15" s="52"/>
      <c r="N15" s="52">
        <f t="shared" si="2"/>
        <v>8.919356914481695E-2</v>
      </c>
      <c r="O15" s="52">
        <f t="shared" si="1"/>
        <v>3.7899989715358476E-2</v>
      </c>
    </row>
    <row r="16" spans="2:15" x14ac:dyDescent="0.35">
      <c r="N16" s="46"/>
      <c r="O16" s="46"/>
    </row>
    <row r="17" spans="2:15" x14ac:dyDescent="0.35">
      <c r="B17" s="48" t="s">
        <v>160</v>
      </c>
      <c r="C17" s="49">
        <f>IFERROR(HistoricalFs!C16,0)</f>
        <v>0.10672678849247161</v>
      </c>
      <c r="D17" s="49">
        <f>IFERROR(HistoricalFs!D16,0)</f>
        <v>0.12847809529452636</v>
      </c>
      <c r="E17" s="49">
        <f>IFERROR(HistoricalFs!E16,0)</f>
        <v>0.10860201636437025</v>
      </c>
      <c r="F17" s="49">
        <f>IFERROR(HistoricalFs!F16,0)</f>
        <v>0.11402504616835751</v>
      </c>
      <c r="G17" s="49">
        <f>IFERROR(HistoricalFs!G16,0)</f>
        <v>0.12527323822987554</v>
      </c>
      <c r="H17" s="49">
        <f>IFERROR(HistoricalFs!H16,0)</f>
        <v>8.8798023177028354E-2</v>
      </c>
      <c r="I17" s="49">
        <f>IFERROR(HistoricalFs!I16,0)</f>
        <v>0.10929475436519734</v>
      </c>
      <c r="J17" s="49">
        <f>IFERROR(HistoricalFs!J16,0)</f>
        <v>0.11488822184383672</v>
      </c>
      <c r="K17" s="49">
        <f>IFERROR(HistoricalFs!K16,0)</f>
        <v>9.6337462213374622E-2</v>
      </c>
      <c r="L17" s="49">
        <f>IFERROR(HistoricalFs!L16,0)</f>
        <v>9.9318846018262658E-2</v>
      </c>
      <c r="M17" s="48"/>
      <c r="N17" s="49">
        <f t="shared" si="2"/>
        <v>0.10917424921673009</v>
      </c>
      <c r="O17" s="49">
        <f t="shared" si="1"/>
        <v>0.1089483853647838</v>
      </c>
    </row>
    <row r="18" spans="2:15" x14ac:dyDescent="0.35">
      <c r="B18" t="s">
        <v>161</v>
      </c>
      <c r="C18" s="50">
        <f>IFERROR(HistoricalFs!C25,0)</f>
        <v>2.2237238029105762E-2</v>
      </c>
      <c r="D18" s="50">
        <f>IFERROR(HistoricalFs!D25,0)</f>
        <v>2.6141623287943738E-2</v>
      </c>
      <c r="E18" s="50">
        <f>IFERROR(HistoricalFs!E25,0)</f>
        <v>2.2750777155297431E-2</v>
      </c>
      <c r="F18" s="50">
        <f>IFERROR(HistoricalFs!F25,0)</f>
        <v>2.1981304795945133E-2</v>
      </c>
      <c r="G18" s="50">
        <f>IFERROR(HistoricalFs!G25,0)</f>
        <v>2.6238377691449471E-2</v>
      </c>
      <c r="H18" s="50">
        <f>IFERROR(HistoricalFs!H25,0)</f>
        <v>2.8595476886523835E-2</v>
      </c>
      <c r="I18" s="50">
        <f>IFERROR(HistoricalFs!I25,0)</f>
        <v>2.360895864812244E-2</v>
      </c>
      <c r="J18" s="50">
        <f>IFERROR(HistoricalFs!J25,0)</f>
        <v>1.7357148284993799E-2</v>
      </c>
      <c r="K18" s="50">
        <f>IFERROR(HistoricalFs!K25,0)</f>
        <v>1.2439633561896335E-2</v>
      </c>
      <c r="L18" s="50">
        <f>IFERROR(HistoricalFs!L25,0)</f>
        <v>1.2042438508511583E-2</v>
      </c>
      <c r="N18" s="50">
        <f t="shared" si="2"/>
        <v>2.1339297684978952E-2</v>
      </c>
      <c r="O18" s="50">
        <f t="shared" si="1"/>
        <v>2.2494007592201597E-2</v>
      </c>
    </row>
    <row r="19" spans="2:15" x14ac:dyDescent="0.35">
      <c r="B19" s="51" t="s">
        <v>162</v>
      </c>
      <c r="C19" s="53">
        <f>C13</f>
        <v>0.11858202439446019</v>
      </c>
      <c r="D19" s="53">
        <f t="shared" ref="D19:L19" si="3">D13</f>
        <v>-1.6207346655640509E-3</v>
      </c>
      <c r="E19" s="53">
        <f t="shared" si="3"/>
        <v>3.570215353444104E-2</v>
      </c>
      <c r="F19" s="53">
        <f t="shared" si="3"/>
        <v>0.16724202685050985</v>
      </c>
      <c r="G19" s="53">
        <f t="shared" si="3"/>
        <v>0.10030759422536588</v>
      </c>
      <c r="H19" s="53">
        <f t="shared" si="3"/>
        <v>-1.1327459844532291E-2</v>
      </c>
      <c r="I19" s="53">
        <f t="shared" si="3"/>
        <v>-0.1183591723461883</v>
      </c>
      <c r="J19" s="53">
        <f t="shared" si="3"/>
        <v>-9.8753820343023005E-2</v>
      </c>
      <c r="K19" s="53">
        <f t="shared" si="3"/>
        <v>0.10597765980977659</v>
      </c>
      <c r="L19" s="53">
        <f t="shared" si="3"/>
        <v>0.8886387154732257</v>
      </c>
      <c r="M19" s="51"/>
      <c r="N19" s="52">
        <f t="shared" si="2"/>
        <v>0.11863889870884717</v>
      </c>
      <c r="O19" s="52">
        <f t="shared" si="1"/>
        <v>6.8004873879903449E-2</v>
      </c>
    </row>
    <row r="20" spans="2:15" x14ac:dyDescent="0.35">
      <c r="N20" s="46"/>
      <c r="O20" s="46"/>
    </row>
    <row r="21" spans="2:15" x14ac:dyDescent="0.35">
      <c r="B21" s="48" t="s">
        <v>163</v>
      </c>
      <c r="C21" s="49">
        <f>IFERROR((HistoricalFs!C18-HistoricalFs!C24)/(SUM(HistoricalFs!C47:C49)),0)</f>
        <v>0.21831152721785796</v>
      </c>
      <c r="D21" s="49">
        <f>IFERROR((HistoricalFs!D18-HistoricalFs!D24)/(SUM(HistoricalFs!D47:D49)),0)</f>
        <v>-3.198311326741486E-3</v>
      </c>
      <c r="E21" s="49">
        <f>IFERROR((HistoricalFs!E18-HistoricalFs!E24)/(SUM(HistoricalFs!E47:E49)),0)</f>
        <v>5.6454449811306408E-2</v>
      </c>
      <c r="F21" s="49">
        <f>IFERROR((HistoricalFs!F18-HistoricalFs!F24)/(SUM(HistoricalFs!F47:F49)),0)</f>
        <v>0.30354855793246838</v>
      </c>
      <c r="G21" s="49">
        <f>IFERROR((HistoricalFs!G18-HistoricalFs!G24)/(SUM(HistoricalFs!G47:G49)),0)</f>
        <v>0.13939231315568948</v>
      </c>
      <c r="H21" s="49">
        <f>IFERROR((HistoricalFs!H18-HistoricalFs!H24)/(SUM(HistoricalFs!H47:H49)),0)</f>
        <v>-1.4335691811352677E-2</v>
      </c>
      <c r="I21" s="49">
        <f>IFERROR((HistoricalFs!I18-HistoricalFs!I24)/(SUM(HistoricalFs!I47:I49)),0)</f>
        <v>-0.17254328785567408</v>
      </c>
      <c r="J21" s="49">
        <f>IFERROR((HistoricalFs!J18-HistoricalFs!J24)/(SUM(HistoricalFs!J47:J49)),0)</f>
        <v>-0.19040608692061214</v>
      </c>
      <c r="K21" s="49">
        <f>IFERROR((HistoricalFs!K18-HistoricalFs!K24)/(SUM(HistoricalFs!K47:K49)),0)</f>
        <v>0.2393356297676161</v>
      </c>
      <c r="L21" s="49">
        <f>IFERROR((HistoricalFs!L18-HistoricalFs!L24)/(SUM(HistoricalFs!L47:L49)),0)</f>
        <v>2.0818503441955629</v>
      </c>
      <c r="M21" s="49"/>
      <c r="N21" s="49">
        <f t="shared" si="2"/>
        <v>0.2658409444166121</v>
      </c>
      <c r="O21" s="49">
        <f t="shared" si="1"/>
        <v>9.792338148349794E-2</v>
      </c>
    </row>
    <row r="22" spans="2:15" x14ac:dyDescent="0.35">
      <c r="B22" t="s">
        <v>164</v>
      </c>
      <c r="C22" s="50">
        <f>IFERROR(HistoricalFs!C44,0)</f>
        <v>0.99722369489747664</v>
      </c>
      <c r="D22" s="50">
        <f>IFERROR(HistoricalFs!D44,0)</f>
        <v>0</v>
      </c>
      <c r="E22" s="50">
        <f>IFERROR(HistoricalFs!E44,0)</f>
        <v>1</v>
      </c>
      <c r="F22" s="50">
        <f>IFERROR(HistoricalFs!F44,0)</f>
        <v>1</v>
      </c>
      <c r="G22" s="50">
        <f>IFERROR(HistoricalFs!G44,0)</f>
        <v>1</v>
      </c>
      <c r="H22" s="50">
        <f>IFERROR(HistoricalFs!H44,0)</f>
        <v>0</v>
      </c>
      <c r="I22" s="50">
        <f>IFERROR(HistoricalFs!I44,0)</f>
        <v>0</v>
      </c>
      <c r="J22" s="50">
        <f>IFERROR(HistoricalFs!J44,0)</f>
        <v>0</v>
      </c>
      <c r="K22" s="50">
        <f>IFERROR(HistoricalFs!K44,0)</f>
        <v>0.94576438976099564</v>
      </c>
      <c r="L22" s="50">
        <f>IFERROR(HistoricalFs!L44,0)</f>
        <v>0.99411427581335221</v>
      </c>
      <c r="M22" s="50"/>
      <c r="N22" s="50">
        <f t="shared" si="2"/>
        <v>0.59371023604718243</v>
      </c>
      <c r="O22" s="50">
        <f t="shared" si="1"/>
        <v>0.96993933278717392</v>
      </c>
    </row>
    <row r="23" spans="2:15" x14ac:dyDescent="0.35">
      <c r="B23" t="s">
        <v>165</v>
      </c>
      <c r="C23" s="50">
        <f>IFERROR(HistoricalFs!C33/SUM(HistoricalFs!C47:C48),0)</f>
        <v>0.30985969902628707</v>
      </c>
      <c r="D23" s="50">
        <f>IFERROR(HistoricalFs!D33/SUM(HistoricalFs!D47:D48),0)</f>
        <v>-0.13651536317539748</v>
      </c>
      <c r="E23" s="50">
        <f>IFERROR(HistoricalFs!E33/SUM(HistoricalFs!E47:E48),0)</f>
        <v>1.4516298219252419E-2</v>
      </c>
      <c r="F23" s="50">
        <f>IFERROR(HistoricalFs!F33/SUM(HistoricalFs!F47:F48),0)</f>
        <v>0.7839146713601759</v>
      </c>
      <c r="G23" s="50">
        <f>IFERROR(HistoricalFs!G33/SUM(HistoricalFs!G47:G48),0)</f>
        <v>0.29405441122359682</v>
      </c>
      <c r="H23" s="50">
        <f>IFERROR(HistoricalFs!H33/SUM(HistoricalFs!H47:H48),0)</f>
        <v>-0.243789495557383</v>
      </c>
      <c r="I23" s="50">
        <f>IFERROR(HistoricalFs!I33/SUM(HistoricalFs!I47:I48),0)</f>
        <v>-1.0435232502506668</v>
      </c>
      <c r="J23" s="50">
        <f>IFERROR(HistoricalFs!J33/SUM(HistoricalFs!J47:J48),0)</f>
        <v>-0.99499821167698865</v>
      </c>
      <c r="K23" s="50">
        <f>IFERROR(HistoricalFs!K33/SUM(HistoricalFs!K47:K48),0)</f>
        <v>0.4996113898113474</v>
      </c>
      <c r="L23" s="50">
        <f>IFERROR(HistoricalFs!L33/SUM(HistoricalFs!L47:L48),0)</f>
        <v>3.2299989667998346</v>
      </c>
      <c r="M23" s="50"/>
      <c r="N23" s="50">
        <f t="shared" si="2"/>
        <v>0.27131291157800586</v>
      </c>
      <c r="O23" s="50">
        <f t="shared" si="1"/>
        <v>0.15428535472142463</v>
      </c>
    </row>
    <row r="24" spans="2:15" x14ac:dyDescent="0.35">
      <c r="B24" t="s">
        <v>167</v>
      </c>
      <c r="C24" s="50">
        <f>IFERROR(C22*C23,0)</f>
        <v>0.30899943396281404</v>
      </c>
      <c r="D24" s="50">
        <f t="shared" ref="D24:L24" si="4">IFERROR(D22*D23,0)</f>
        <v>0</v>
      </c>
      <c r="E24" s="50">
        <f t="shared" si="4"/>
        <v>1.4516298219252419E-2</v>
      </c>
      <c r="F24" s="50">
        <f t="shared" si="4"/>
        <v>0.7839146713601759</v>
      </c>
      <c r="G24" s="50">
        <f t="shared" si="4"/>
        <v>0.29405441122359682</v>
      </c>
      <c r="H24" s="50">
        <f t="shared" si="4"/>
        <v>0</v>
      </c>
      <c r="I24" s="50">
        <f t="shared" si="4"/>
        <v>0</v>
      </c>
      <c r="J24" s="50">
        <f t="shared" si="4"/>
        <v>0</v>
      </c>
      <c r="K24" s="50">
        <f t="shared" si="4"/>
        <v>0.47251466120257191</v>
      </c>
      <c r="L24" s="50">
        <f t="shared" si="4"/>
        <v>3.2109880837580933</v>
      </c>
      <c r="M24" s="50"/>
      <c r="N24" s="50">
        <f t="shared" si="2"/>
        <v>0.50849875597265037</v>
      </c>
      <c r="O24" s="50">
        <f t="shared" si="1"/>
        <v>0.15428535472142463</v>
      </c>
    </row>
    <row r="25" spans="2:15" x14ac:dyDescent="0.35">
      <c r="B25" s="51" t="s">
        <v>166</v>
      </c>
      <c r="C25" s="54">
        <f>(HistoricalFs!C18-HistoricalFs!C24)/HistoricalFs!C21</f>
        <v>6.6225752084236742</v>
      </c>
      <c r="D25" s="54">
        <f>(HistoricalFs!D18-HistoricalFs!D24)/HistoricalFs!D21</f>
        <v>-0.10313802940530566</v>
      </c>
      <c r="E25" s="54">
        <f>(HistoricalFs!E18-HistoricalFs!E24)/HistoricalFs!E21</f>
        <v>2.2232906644680734</v>
      </c>
      <c r="F25" s="54">
        <f>(HistoricalFs!F18-HistoricalFs!F24)/HistoricalFs!F21</f>
        <v>8.7689351578508639</v>
      </c>
      <c r="G25" s="54">
        <f>(HistoricalFs!G18-HistoricalFs!G24)/HistoricalFs!G21</f>
        <v>3.6153399058167985</v>
      </c>
      <c r="H25" s="54">
        <f>(HistoricalFs!H18-HistoricalFs!H24)/HistoricalFs!H21</f>
        <v>-0.34944801702322942</v>
      </c>
      <c r="I25" s="54">
        <f>(HistoricalFs!I18-HistoricalFs!I24)/HistoricalFs!I21</f>
        <v>-3.5393079363306601</v>
      </c>
      <c r="J25" s="54">
        <f>(HistoricalFs!J18-HistoricalFs!J24)/HistoricalFs!J21</f>
        <v>-3.3412182117612113</v>
      </c>
      <c r="K25" s="54">
        <f>(HistoricalFs!K18-HistoricalFs!K24)/HistoricalFs!K21</f>
        <v>6.056887016065315</v>
      </c>
      <c r="L25" s="54">
        <f>(HistoricalFs!L18-HistoricalFs!L24)/HistoricalFs!L21</f>
        <v>76.869958685815462</v>
      </c>
      <c r="M25" s="54"/>
      <c r="N25" s="54">
        <f t="shared" si="2"/>
        <v>9.6823874443919777</v>
      </c>
      <c r="O25" s="54">
        <f t="shared" si="1"/>
        <v>2.919315285142436</v>
      </c>
    </row>
    <row r="26" spans="2:15" x14ac:dyDescent="0.35">
      <c r="N26" s="46"/>
      <c r="O26" s="46"/>
    </row>
    <row r="27" spans="2:15" x14ac:dyDescent="0.35">
      <c r="B27" s="48" t="s">
        <v>168</v>
      </c>
      <c r="C27" s="55">
        <f>HistoricalFs!C6/HistoricalFs!C59</f>
        <v>20.119918266350599</v>
      </c>
      <c r="D27" s="55">
        <f>HistoricalFs!D6/HistoricalFs!D59</f>
        <v>19.160353236640844</v>
      </c>
      <c r="E27" s="55">
        <f>HistoricalFs!E6/HistoricalFs!E59</f>
        <v>14.655712224718874</v>
      </c>
      <c r="F27" s="55">
        <f>HistoricalFs!F6/HistoricalFs!F59</f>
        <v>15.894698773489607</v>
      </c>
      <c r="G27" s="55">
        <f>HistoricalFs!G6/HistoricalFs!G59</f>
        <v>23.366617170976728</v>
      </c>
      <c r="H27" s="55">
        <f>HistoricalFs!H6/HistoricalFs!H59</f>
        <v>19.701330853658153</v>
      </c>
      <c r="I27" s="55">
        <f>HistoricalFs!I6/HistoricalFs!I59</f>
        <v>22.379917570317598</v>
      </c>
      <c r="J27" s="55">
        <f>HistoricalFs!J6/HistoricalFs!J59</f>
        <v>21.982947610142858</v>
      </c>
      <c r="K27" s="55">
        <f>HistoricalFs!K6/HistoricalFs!K59</f>
        <v>25.602642756016991</v>
      </c>
      <c r="L27" s="55">
        <f>HistoricalFs!L6/HistoricalFs!L59</f>
        <v>33.189538043478258</v>
      </c>
      <c r="M27" s="55"/>
      <c r="N27" s="55">
        <f t="shared" si="2"/>
        <v>21.605367650579048</v>
      </c>
      <c r="O27" s="55">
        <f t="shared" si="1"/>
        <v>21.051432938246727</v>
      </c>
    </row>
    <row r="28" spans="2:15" x14ac:dyDescent="0.35">
      <c r="B28" t="s">
        <v>169</v>
      </c>
      <c r="C28" s="47">
        <f>HistoricalFs!C6/HistoricalFs!C50</f>
        <v>2.3769603927858673</v>
      </c>
      <c r="D28" s="47">
        <f>HistoricalFs!D6/HistoricalFs!D50</f>
        <v>1.9842807783040648</v>
      </c>
      <c r="E28" s="47">
        <f>HistoricalFs!E6/HistoricalFs!E50</f>
        <v>2.0414780318629697</v>
      </c>
      <c r="F28" s="47">
        <f>HistoricalFs!F6/HistoricalFs!F50</f>
        <v>2.1667847518227492</v>
      </c>
      <c r="G28" s="47">
        <f>HistoricalFs!G6/HistoricalFs!G50</f>
        <v>1.9731057108276859</v>
      </c>
      <c r="H28" s="47">
        <f>HistoricalFs!H6/HistoricalFs!H50</f>
        <v>1.7323684804395676</v>
      </c>
      <c r="I28" s="47">
        <f>HistoricalFs!I6/HistoricalFs!I50</f>
        <v>2.0170312149360217</v>
      </c>
      <c r="J28" s="47">
        <f>HistoricalFs!J6/HistoricalFs!J50</f>
        <v>2.2286057258733614</v>
      </c>
      <c r="K28" s="47">
        <f>HistoricalFs!K6/HistoricalFs!K50</f>
        <v>2.4473804408505742</v>
      </c>
      <c r="L28" s="47">
        <f>HistoricalFs!L6/HistoricalFs!L50</f>
        <v>2.3228766594994954</v>
      </c>
      <c r="M28" s="47"/>
      <c r="N28" s="47">
        <f t="shared" si="2"/>
        <v>2.1290872187202359</v>
      </c>
      <c r="O28" s="47">
        <f t="shared" si="1"/>
        <v>2.1041313918428592</v>
      </c>
    </row>
    <row r="29" spans="2:15" x14ac:dyDescent="0.35">
      <c r="B29" t="s">
        <v>47</v>
      </c>
      <c r="C29" s="47">
        <f>IFERROR(HistoricalFs!C6/HistoricalFs!C60,0)</f>
        <v>8.3613381173839922</v>
      </c>
      <c r="D29" s="47">
        <f>IFERROR(HistoricalFs!D6/HistoricalFs!D60,0)</f>
        <v>7.6867643466738649</v>
      </c>
      <c r="E29" s="47">
        <f>IFERROR(HistoricalFs!E6/HistoricalFs!E60,0)</f>
        <v>6.9190051742350009</v>
      </c>
      <c r="F29" s="47">
        <f>IFERROR(HistoricalFs!F6/HistoricalFs!F60,0)</f>
        <v>7.7392856309817084</v>
      </c>
      <c r="G29" s="47">
        <f>IFERROR(HistoricalFs!G6/HistoricalFs!G60,0)</f>
        <v>6.9698269049637886</v>
      </c>
      <c r="H29" s="47">
        <f>IFERROR(HistoricalFs!H6/HistoricalFs!H60,0)</f>
        <v>6.9217098811563442</v>
      </c>
      <c r="I29" s="47">
        <f>IFERROR(HistoricalFs!I6/HistoricalFs!I60,0)</f>
        <v>7.9015588385356104</v>
      </c>
      <c r="J29" s="47">
        <f>IFERROR(HistoricalFs!J6/HistoricalFs!J60,0)</f>
        <v>8.4888641723217457</v>
      </c>
      <c r="K29" s="47">
        <f>IFERROR(HistoricalFs!K6/HistoricalFs!K60,0)</f>
        <v>9.0821126642671803</v>
      </c>
      <c r="L29" s="47">
        <f>IFERROR(HistoricalFs!L6/HistoricalFs!L60,0)</f>
        <v>9.3019738094734397</v>
      </c>
      <c r="M29" s="47"/>
      <c r="N29" s="47">
        <f t="shared" si="2"/>
        <v>7.9372439539992667</v>
      </c>
      <c r="O29" s="47">
        <f t="shared" si="1"/>
        <v>7.8204222347586594</v>
      </c>
    </row>
    <row r="30" spans="2:15" x14ac:dyDescent="0.35">
      <c r="B30" t="s">
        <v>170</v>
      </c>
      <c r="C30" s="47">
        <f>IFERROR(HistoricalFs!C6/HistoricalFs!C53,0)</f>
        <v>2.546312771514708</v>
      </c>
      <c r="D30" s="47">
        <f>IFERROR(HistoricalFs!D6/HistoricalFs!D53,0)</f>
        <v>2.8109343484246239</v>
      </c>
      <c r="E30" s="47">
        <f>IFERROR(HistoricalFs!E6/HistoricalFs!E53,0)</f>
        <v>2.4012948768781421</v>
      </c>
      <c r="F30" s="47">
        <f>IFERROR(HistoricalFs!F6/HistoricalFs!F53,0)</f>
        <v>2.7144319562092578</v>
      </c>
      <c r="G30" s="47">
        <f>IFERROR(HistoricalFs!G6/HistoricalFs!G53,0)</f>
        <v>2.0539205744067566</v>
      </c>
      <c r="H30" s="47">
        <f>IFERROR(HistoricalFs!H6/HistoricalFs!H53,0)</f>
        <v>1.8008727134726064</v>
      </c>
      <c r="I30" s="47">
        <f>IFERROR(HistoricalFs!I6/HistoricalFs!I53,0)</f>
        <v>2.0053488717943728</v>
      </c>
      <c r="J30" s="47">
        <f>IFERROR(HistoricalFs!J6/HistoricalFs!J53,0)</f>
        <v>2.6193791539294131</v>
      </c>
      <c r="K30" s="47">
        <f>IFERROR(HistoricalFs!K6/HistoricalFs!K53,0)</f>
        <v>3.5784804386362699</v>
      </c>
      <c r="L30" s="47">
        <f>IFERROR(HistoricalFs!L6/HistoricalFs!L53,0)</f>
        <v>3.8004010475638954</v>
      </c>
      <c r="M30" s="47"/>
      <c r="N30" s="47">
        <f t="shared" si="2"/>
        <v>2.6331376752830042</v>
      </c>
      <c r="O30" s="47">
        <f t="shared" si="1"/>
        <v>2.5828459627220606</v>
      </c>
    </row>
    <row r="31" spans="2:15" x14ac:dyDescent="0.35">
      <c r="B31" s="51" t="s">
        <v>171</v>
      </c>
      <c r="C31" s="54">
        <f>IFERROR(HistoricalFs!C6/SUM(HistoricalFs!C47:C48),0)</f>
        <v>3.4583567493379874</v>
      </c>
      <c r="D31" s="54">
        <f>IFERROR(HistoricalFs!D6/SUM(HistoricalFs!D47:D48),0)</f>
        <v>4.6449144180459854</v>
      </c>
      <c r="E31" s="54">
        <f>IFERROR(HistoricalFs!E6/SUM(HistoricalFs!E47:E48),0)</f>
        <v>3.0551908765475422</v>
      </c>
      <c r="F31" s="54">
        <f>IFERROR(HistoricalFs!F6/SUM(HistoricalFs!F47:F48),0)</f>
        <v>5.0172915853821474</v>
      </c>
      <c r="G31" s="54">
        <f>IFERROR(HistoricalFs!G6/SUM(HistoricalFs!G47:G48),0)</f>
        <v>4.1387770133514525</v>
      </c>
      <c r="H31" s="54">
        <f>IFERROR(HistoricalFs!H6/SUM(HistoricalFs!H47:H48),0)</f>
        <v>4.5214403678625628</v>
      </c>
      <c r="I31" s="54">
        <f>IFERROR(HistoricalFs!I6/SUM(HistoricalFs!I47:I48),0)</f>
        <v>6.2487852671963351</v>
      </c>
      <c r="J31" s="54">
        <f>IFERROR(HistoricalFs!J6/SUM(HistoricalFs!J47:J48),0)</f>
        <v>7.6335680916398054</v>
      </c>
      <c r="K31" s="54">
        <f>IFERROR(HistoricalFs!K6/SUM(HistoricalFs!K47:K48),0)</f>
        <v>5.1110012011587651</v>
      </c>
      <c r="L31" s="54">
        <f>IFERROR(HistoricalFs!L6/SUM(HistoricalFs!L47:L48),0)</f>
        <v>3.7857745557239291</v>
      </c>
      <c r="M31" s="54"/>
      <c r="N31" s="54">
        <f t="shared" si="2"/>
        <v>4.7615100126246501</v>
      </c>
      <c r="O31" s="54">
        <f t="shared" si="1"/>
        <v>4.5831773929542745</v>
      </c>
    </row>
    <row r="32" spans="2:15" x14ac:dyDescent="0.35">
      <c r="C32" s="47"/>
      <c r="D32" s="47"/>
      <c r="E32" s="47"/>
      <c r="F32" s="47"/>
      <c r="G32" s="47"/>
      <c r="H32" s="47"/>
      <c r="I32" s="47"/>
      <c r="J32" s="47"/>
      <c r="K32" s="47"/>
      <c r="L32" s="47"/>
      <c r="N32" s="46"/>
      <c r="O32" s="46"/>
    </row>
    <row r="33" spans="2:15" x14ac:dyDescent="0.35">
      <c r="B33" s="48" t="s">
        <v>172</v>
      </c>
      <c r="C33" s="56">
        <f>IFERROR(365/C27,0)</f>
        <v>18.141226776772818</v>
      </c>
      <c r="D33" s="56">
        <f t="shared" ref="D33:K33" si="5">IFERROR(365/D27,0)</f>
        <v>19.049753180019717</v>
      </c>
      <c r="E33" s="56">
        <f t="shared" si="5"/>
        <v>24.904964999543136</v>
      </c>
      <c r="F33" s="56">
        <f t="shared" si="5"/>
        <v>22.963631157878556</v>
      </c>
      <c r="G33" s="56">
        <f t="shared" si="5"/>
        <v>15.620575170519771</v>
      </c>
      <c r="H33" s="56">
        <f t="shared" si="5"/>
        <v>18.52666719376608</v>
      </c>
      <c r="I33" s="56">
        <f t="shared" si="5"/>
        <v>16.309264717046954</v>
      </c>
      <c r="J33" s="56">
        <f t="shared" si="5"/>
        <v>16.603778823163378</v>
      </c>
      <c r="K33" s="56">
        <f t="shared" si="5"/>
        <v>14.256340780063407</v>
      </c>
      <c r="L33" s="56">
        <f>IFERROR(365/L27,0)</f>
        <v>10.997441408248902</v>
      </c>
      <c r="M33" s="56"/>
      <c r="N33" s="56">
        <f t="shared" si="2"/>
        <v>17.737364420702271</v>
      </c>
      <c r="O33" s="56">
        <f t="shared" si="1"/>
        <v>17.372502799968096</v>
      </c>
    </row>
    <row r="34" spans="2:15" x14ac:dyDescent="0.35">
      <c r="B34" t="s">
        <v>173</v>
      </c>
      <c r="C34" s="57">
        <f>IFERROR(365/C28,0)</f>
        <v>153.55745981623585</v>
      </c>
      <c r="D34" s="57">
        <f t="shared" ref="D34:L34" si="6">IFERROR(365/D28,0)</f>
        <v>183.94574194885871</v>
      </c>
      <c r="E34" s="57">
        <f t="shared" si="6"/>
        <v>178.79202925682029</v>
      </c>
      <c r="F34" s="57">
        <f t="shared" si="6"/>
        <v>168.45235766633192</v>
      </c>
      <c r="G34" s="57">
        <f t="shared" si="6"/>
        <v>184.98755439052903</v>
      </c>
      <c r="H34" s="57">
        <f t="shared" si="6"/>
        <v>210.69420514242194</v>
      </c>
      <c r="I34" s="57">
        <f t="shared" si="6"/>
        <v>180.95902398395825</v>
      </c>
      <c r="J34" s="57">
        <f t="shared" si="6"/>
        <v>163.77953074537726</v>
      </c>
      <c r="K34" s="57">
        <f t="shared" si="6"/>
        <v>149.13905247732802</v>
      </c>
      <c r="L34" s="57">
        <f t="shared" si="6"/>
        <v>157.13275111156597</v>
      </c>
      <c r="M34" s="57"/>
      <c r="N34" s="57">
        <f t="shared" si="2"/>
        <v>173.14397065394274</v>
      </c>
      <c r="O34" s="57">
        <f t="shared" si="1"/>
        <v>173.6221934615761</v>
      </c>
    </row>
    <row r="35" spans="2:15" x14ac:dyDescent="0.35">
      <c r="B35" t="s">
        <v>174</v>
      </c>
      <c r="C35" s="57">
        <f>IFERROR(365/C29,0)</f>
        <v>43.653299851746382</v>
      </c>
      <c r="D35" s="57">
        <f t="shared" ref="D35:L35" si="7">IFERROR(365/D29,0)</f>
        <v>47.484218786795374</v>
      </c>
      <c r="E35" s="57">
        <f t="shared" si="7"/>
        <v>52.753248596949661</v>
      </c>
      <c r="F35" s="57">
        <f t="shared" si="7"/>
        <v>47.161975588398164</v>
      </c>
      <c r="G35" s="57">
        <f t="shared" si="7"/>
        <v>52.368588915752468</v>
      </c>
      <c r="H35" s="57">
        <f t="shared" si="7"/>
        <v>52.732634893247351</v>
      </c>
      <c r="I35" s="57">
        <f t="shared" si="7"/>
        <v>46.193416698982041</v>
      </c>
      <c r="J35" s="57">
        <f t="shared" si="7"/>
        <v>42.997507392107408</v>
      </c>
      <c r="K35" s="57">
        <f t="shared" si="7"/>
        <v>40.188887045638872</v>
      </c>
      <c r="L35" s="57">
        <f t="shared" si="7"/>
        <v>39.238983841071651</v>
      </c>
      <c r="M35" s="57"/>
      <c r="N35" s="57">
        <f t="shared" si="2"/>
        <v>46.477276161068936</v>
      </c>
      <c r="O35" s="57">
        <f t="shared" si="1"/>
        <v>46.677696143690099</v>
      </c>
    </row>
    <row r="36" spans="2:15" x14ac:dyDescent="0.35">
      <c r="B36" s="51" t="s">
        <v>175</v>
      </c>
      <c r="C36" s="58">
        <f>SUM(C33,C35)-C34</f>
        <v>-91.762933187716641</v>
      </c>
      <c r="D36" s="58">
        <f t="shared" ref="D36:L36" si="8">SUM(D33,D35)-D34</f>
        <v>-117.41176998204362</v>
      </c>
      <c r="E36" s="58">
        <f t="shared" si="8"/>
        <v>-101.13381566032749</v>
      </c>
      <c r="F36" s="58">
        <f t="shared" si="8"/>
        <v>-98.326750920055204</v>
      </c>
      <c r="G36" s="58">
        <f t="shared" si="8"/>
        <v>-116.99839030425679</v>
      </c>
      <c r="H36" s="58">
        <f t="shared" si="8"/>
        <v>-139.43490305540851</v>
      </c>
      <c r="I36" s="58">
        <f t="shared" si="8"/>
        <v>-118.45634256792925</v>
      </c>
      <c r="J36" s="58">
        <f t="shared" si="8"/>
        <v>-104.17824453010647</v>
      </c>
      <c r="K36" s="58">
        <f t="shared" si="8"/>
        <v>-94.693824651625746</v>
      </c>
      <c r="L36" s="58">
        <f t="shared" si="8"/>
        <v>-106.89632586224542</v>
      </c>
      <c r="M36" s="58"/>
      <c r="N36" s="58">
        <f t="shared" si="2"/>
        <v>-108.92933007217152</v>
      </c>
      <c r="O36" s="58">
        <f t="shared" si="1"/>
        <v>-105.53728519617594</v>
      </c>
    </row>
    <row r="37" spans="2:15" x14ac:dyDescent="0.35">
      <c r="N37" s="46"/>
      <c r="O37" s="46"/>
    </row>
    <row r="38" spans="2:15" x14ac:dyDescent="0.35">
      <c r="B38" s="48" t="s">
        <v>176</v>
      </c>
      <c r="C38" s="49">
        <f>IFERROR(HistoricalFs!C78/HistoricalFs!C6,0)</f>
        <v>0.14360971207739662</v>
      </c>
      <c r="D38" s="49">
        <f>IFERROR(HistoricalFs!D78/HistoricalFs!D6,0)</f>
        <v>0.12404497255040564</v>
      </c>
      <c r="E38" s="49">
        <f>IFERROR(HistoricalFs!E78/HistoricalFs!E6,0)</f>
        <v>5.9759805574664121E-2</v>
      </c>
      <c r="F38" s="49">
        <f>IFERROR(HistoricalFs!F78/HistoricalFs!F6,0)</f>
        <v>3.8653579670555313E-2</v>
      </c>
      <c r="G38" s="49">
        <f>IFERROR(HistoricalFs!G78/HistoricalFs!G6,0)</f>
        <v>0.12141665635964458</v>
      </c>
      <c r="H38" s="49">
        <f>IFERROR(HistoricalFs!H78/HistoricalFs!H6,0)</f>
        <v>0.11572300859005244</v>
      </c>
      <c r="I38" s="49">
        <f>IFERROR(HistoricalFs!I78/HistoricalFs!I6,0)</f>
        <v>1.2684338598291522E-2</v>
      </c>
      <c r="J38" s="49">
        <f>IFERROR(HistoricalFs!J78/HistoricalFs!J6,0)</f>
        <v>9.3248786148573667E-2</v>
      </c>
      <c r="K38" s="49">
        <f>IFERROR(HistoricalFs!K78/HistoricalFs!K6,0)</f>
        <v>0.17335766423357665</v>
      </c>
      <c r="L38" s="49">
        <f>IFERROR(HistoricalFs!L78/HistoricalFs!L6,0)</f>
        <v>0.16206233866657568</v>
      </c>
      <c r="M38" s="49"/>
      <c r="N38" s="49">
        <f t="shared" si="2"/>
        <v>0.10445608624697363</v>
      </c>
      <c r="O38" s="49">
        <f t="shared" si="1"/>
        <v>0.11856983247484851</v>
      </c>
    </row>
    <row r="39" spans="2:15" x14ac:dyDescent="0.35">
      <c r="B39" t="s">
        <v>177</v>
      </c>
      <c r="C39" s="50">
        <f>IFERROR(HistoricalFs!C78/HistoricalFs!C64,0)</f>
        <v>0.14899075217760099</v>
      </c>
      <c r="D39" s="50">
        <f>IFERROR(HistoricalFs!D78/HistoricalFs!D64,0)</f>
        <v>0.12273077928285075</v>
      </c>
      <c r="E39" s="50">
        <f>IFERROR(HistoricalFs!E78/HistoricalFs!E64,0)</f>
        <v>5.3250110386320486E-2</v>
      </c>
      <c r="F39" s="50">
        <f>IFERROR(HistoricalFs!F78/HistoricalFs!F64,0)</f>
        <v>3.8177516390146542E-2</v>
      </c>
      <c r="G39" s="50">
        <f>IFERROR(HistoricalFs!G78/HistoricalFs!G64,0)</f>
        <v>9.9000750797857404E-2</v>
      </c>
      <c r="H39" s="50">
        <f>IFERROR(HistoricalFs!H78/HistoricalFs!H64,0)</f>
        <v>8.4629819997903213E-2</v>
      </c>
      <c r="I39" s="50">
        <f>IFERROR(HistoricalFs!I78/HistoricalFs!I64,0)</f>
        <v>1.073355621163692E-2</v>
      </c>
      <c r="J39" s="50">
        <f>IFERROR(HistoricalFs!J78/HistoricalFs!J64,0)</f>
        <v>9.639517425935408E-2</v>
      </c>
      <c r="K39" s="50">
        <f>IFERROR(HistoricalFs!K78/HistoricalFs!K64,0)</f>
        <v>0.20361495016521389</v>
      </c>
      <c r="L39" s="50">
        <f>IFERROR(HistoricalFs!L78/HistoricalFs!L64,0)</f>
        <v>0.18902680032787494</v>
      </c>
      <c r="M39" s="50"/>
      <c r="N39" s="50">
        <f t="shared" si="2"/>
        <v>0.10465502099967594</v>
      </c>
      <c r="O39" s="50">
        <f t="shared" si="1"/>
        <v>9.7697962528605742E-2</v>
      </c>
    </row>
    <row r="40" spans="2:15" x14ac:dyDescent="0.35">
      <c r="B40" s="51" t="s">
        <v>178</v>
      </c>
      <c r="C40" s="52">
        <f>IFERROR(HistoricalFs!C78/HistoricalFs!C49,0)</f>
        <v>0.56534057978118779</v>
      </c>
      <c r="D40" s="52">
        <f>IFERROR(HistoricalFs!D78/HistoricalFs!D49,0)</f>
        <v>0.42560185883717339</v>
      </c>
      <c r="E40" s="52">
        <f>IFERROR(HistoricalFs!E78/HistoricalFs!E49,0)</f>
        <v>0.19587305159826587</v>
      </c>
      <c r="F40" s="52">
        <f>IFERROR(HistoricalFs!F78/HistoricalFs!F49,0)</f>
        <v>0.1099219460940742</v>
      </c>
      <c r="G40" s="52">
        <f>IFERROR(HistoricalFs!G78/HistoricalFs!G49,0)</f>
        <v>0.25401554192386361</v>
      </c>
      <c r="H40" s="52">
        <f>IFERROR(HistoricalFs!H78/HistoricalFs!H49,0)</f>
        <v>0.20338341005738594</v>
      </c>
      <c r="I40" s="52">
        <f>IFERROR(HistoricalFs!I78/HistoricalFs!I49,0)</f>
        <v>2.4117605968438302E-2</v>
      </c>
      <c r="J40" s="52">
        <f>IFERROR(HistoricalFs!J78/HistoricalFs!J49,0)</f>
        <v>0.24055008953614193</v>
      </c>
      <c r="K40" s="52">
        <f>IFERROR(HistoricalFs!K78/HistoricalFs!K49,0)</f>
        <v>0.70144689737470167</v>
      </c>
      <c r="L40" s="52">
        <f>IFERROR(HistoricalFs!L78/HistoricalFs!L49,0)</f>
        <v>0.99605814928711212</v>
      </c>
      <c r="M40" s="52"/>
      <c r="N40" s="52">
        <f t="shared" si="2"/>
        <v>0.37163091304583445</v>
      </c>
      <c r="O40" s="52">
        <f t="shared" si="1"/>
        <v>0.24728281573000277</v>
      </c>
    </row>
  </sheetData>
  <mergeCells count="1">
    <mergeCell ref="B2:L2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negative="1" xr2:uid="{F25731B2-E1E4-43CD-8576-A34B1C0221E6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Analysis'!C38:L38</xm:f>
              <xm:sqref>M38</xm:sqref>
            </x14:sparkline>
          </x14:sparklines>
        </x14:sparklineGroup>
        <x14:sparklineGroup displayEmptyCellsAs="gap" markers="1" negative="1" xr2:uid="{008788EC-B38B-455F-82C4-6A2606067098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Analysis'!C33:L33</xm:f>
              <xm:sqref>M33</xm:sqref>
            </x14:sparkline>
          </x14:sparklines>
        </x14:sparklineGroup>
        <x14:sparklineGroup displayEmptyCellsAs="gap" markers="1" negative="1" xr2:uid="{A0CEFAF0-848A-4C37-B3E2-C286BD3E5B39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Analysis'!C27:L27</xm:f>
              <xm:sqref>M27</xm:sqref>
            </x14:sparkline>
            <x14:sparkline>
              <xm:f>'Ratio Analysis'!C28:L28</xm:f>
              <xm:sqref>M28</xm:sqref>
            </x14:sparkline>
            <x14:sparkline>
              <xm:f>'Ratio Analysis'!C29:L29</xm:f>
              <xm:sqref>M29</xm:sqref>
            </x14:sparkline>
            <x14:sparkline>
              <xm:f>'Ratio Analysis'!C30:L30</xm:f>
              <xm:sqref>M30</xm:sqref>
            </x14:sparkline>
            <x14:sparkline>
              <xm:f>'Ratio Analysis'!C31:L31</xm:f>
              <xm:sqref>M31</xm:sqref>
            </x14:sparkline>
          </x14:sparklines>
        </x14:sparklineGroup>
        <x14:sparklineGroup displayEmptyCellsAs="gap" markers="1" negative="1" xr2:uid="{A6A1DD52-5DD8-4688-A5BC-CC9C1E2BD02B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Analysis'!C34:L34</xm:f>
              <xm:sqref>M34</xm:sqref>
            </x14:sparkline>
            <x14:sparkline>
              <xm:f>'Ratio Analysis'!C35:L35</xm:f>
              <xm:sqref>M35</xm:sqref>
            </x14:sparkline>
            <x14:sparkline>
              <xm:f>'Ratio Analysis'!C36:L36</xm:f>
              <xm:sqref>M36</xm:sqref>
            </x14:sparkline>
            <x14:sparkline>
              <xm:f>'Ratio Analysis'!C39:L39</xm:f>
              <xm:sqref>M39</xm:sqref>
            </x14:sparkline>
            <x14:sparkline>
              <xm:f>'Ratio Analysis'!C40:L40</xm:f>
              <xm:sqref>M40</xm:sqref>
            </x14:sparkline>
          </x14:sparklines>
        </x14:sparklineGroup>
        <x14:sparklineGroup displayEmptyCellsAs="gap" markers="1" negative="1" xr2:uid="{7C67132E-6105-4EBB-92D9-03BB1F405F59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Analysis'!C21:L21</xm:f>
              <xm:sqref>M21</xm:sqref>
            </x14:sparkline>
            <x14:sparkline>
              <xm:f>'Ratio Analysis'!C22:L22</xm:f>
              <xm:sqref>M22</xm:sqref>
            </x14:sparkline>
            <x14:sparkline>
              <xm:f>'Ratio Analysis'!C23:L23</xm:f>
              <xm:sqref>M23</xm:sqref>
            </x14:sparkline>
            <x14:sparkline>
              <xm:f>'Ratio Analysis'!C24:L24</xm:f>
              <xm:sqref>M24</xm:sqref>
            </x14:sparkline>
            <x14:sparkline>
              <xm:f>'Ratio Analysis'!C25:L25</xm:f>
              <xm:sqref>M25</xm:sqref>
            </x14:sparkline>
          </x14:sparklines>
        </x14:sparklineGroup>
        <x14:sparklineGroup displayEmptyCellsAs="gap" markers="1" negative="1" xr2:uid="{B4A9B30A-D9A8-4640-B6EF-51ECBBE75A67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Analysis'!C17:L17</xm:f>
              <xm:sqref>M17</xm:sqref>
            </x14:sparkline>
            <x14:sparkline>
              <xm:f>'Ratio Analysis'!C18:L18</xm:f>
              <xm:sqref>M18</xm:sqref>
            </x14:sparkline>
            <x14:sparkline>
              <xm:f>'Ratio Analysis'!C19:L19</xm:f>
              <xm:sqref>M19</xm:sqref>
            </x14:sparkline>
          </x14:sparklines>
        </x14:sparklineGroup>
        <x14:sparklineGroup displayEmptyCellsAs="gap" markers="1" negative="1" xr2:uid="{F4124583-F2D5-45EB-9A55-BA909C7B3B42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Analysis'!C11:L11</xm:f>
              <xm:sqref>M11</xm:sqref>
            </x14:sparkline>
            <x14:sparkline>
              <xm:f>'Ratio Analysis'!C12:L12</xm:f>
              <xm:sqref>M12</xm:sqref>
            </x14:sparkline>
            <x14:sparkline>
              <xm:f>'Ratio Analysis'!C13:L13</xm:f>
              <xm:sqref>M13</xm:sqref>
            </x14:sparkline>
            <x14:sparkline>
              <xm:f>'Ratio Analysis'!C14:L14</xm:f>
              <xm:sqref>M14</xm:sqref>
            </x14:sparkline>
            <x14:sparkline>
              <xm:f>'Ratio Analysis'!C15:L15</xm:f>
              <xm:sqref>M15</xm:sqref>
            </x14:sparkline>
          </x14:sparklines>
        </x14:sparklineGroup>
        <x14:sparklineGroup displayEmptyCellsAs="gap" markers="1" negative="1" xr2:uid="{5F319F8B-2A1B-4A9A-9925-497A177FB13E}">
          <x14:colorSeries theme="2" tint="-9.9978637043366805E-2"/>
          <x14:colorNegative theme="1"/>
          <x14:colorAxis rgb="FF000000"/>
          <x14:colorMarkers theme="1"/>
          <x14:colorFirst rgb="FFD00000"/>
          <x14:colorLast rgb="FFD00000"/>
          <x14:colorHigh rgb="FFD00000"/>
          <x14:colorLow rgb="FFD00000"/>
          <x14:sparklines>
            <x14:sparkline>
              <xm:f>'Ratio Analysis'!D5:L5</xm:f>
              <xm:sqref>M5</xm:sqref>
            </x14:sparkline>
            <x14:sparkline>
              <xm:f>'Ratio Analysis'!D6:L6</xm:f>
              <xm:sqref>M6</xm:sqref>
            </x14:sparkline>
            <x14:sparkline>
              <xm:f>'Ratio Analysis'!D7:L7</xm:f>
              <xm:sqref>M7</xm:sqref>
            </x14:sparkline>
            <x14:sparkline>
              <xm:f>'Ratio Analysis'!D8:L8</xm:f>
              <xm:sqref>M8</xm:sqref>
            </x14:sparkline>
            <x14:sparkline>
              <xm:f>'Ratio Analysis'!D9:L9</xm:f>
              <xm:sqref>M9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A7F4B-B00A-48B9-8AB3-8C1372A3C621}">
  <sheetPr>
    <tabColor rgb="FF002060"/>
  </sheetPr>
  <dimension ref="B2:O20"/>
  <sheetViews>
    <sheetView showGridLines="0" workbookViewId="0">
      <selection activeCell="D14" sqref="D14"/>
    </sheetView>
  </sheetViews>
  <sheetFormatPr defaultRowHeight="14.5" x14ac:dyDescent="0.35"/>
  <cols>
    <col min="1" max="1" width="2.26953125" customWidth="1"/>
    <col min="2" max="2" width="11.7265625" bestFit="1" customWidth="1"/>
    <col min="3" max="3" width="9.81640625" bestFit="1" customWidth="1"/>
    <col min="4" max="4" width="10.1796875" customWidth="1"/>
    <col min="5" max="5" width="12.54296875" bestFit="1" customWidth="1"/>
    <col min="6" max="6" width="2.7265625" customWidth="1"/>
    <col min="7" max="7" width="11.7265625" bestFit="1" customWidth="1"/>
    <col min="9" max="9" width="9.7265625" bestFit="1" customWidth="1"/>
    <col min="11" max="11" width="2.7265625" customWidth="1"/>
    <col min="12" max="12" width="14" customWidth="1"/>
    <col min="14" max="14" width="9.7265625" bestFit="1" customWidth="1"/>
    <col min="15" max="15" width="12.54296875" bestFit="1" customWidth="1"/>
  </cols>
  <sheetData>
    <row r="2" spans="2:15" x14ac:dyDescent="0.35">
      <c r="B2" s="81" t="str">
        <f>'Data Sheet'!B1&amp;" - "&amp;'Data Sheet'!A17&amp;" Forecasting"</f>
        <v>TATA MOTORS LTD - Sales Forecasting</v>
      </c>
      <c r="C2" s="81"/>
      <c r="D2" s="81"/>
      <c r="E2" s="81"/>
      <c r="G2" s="81" t="str">
        <f>'Data Sheet'!$B$1&amp;" - "&amp;HistoricalFs!B18&amp;" Forecasting"</f>
        <v>TATA MOTORS LTD - EBITDA Forecasting</v>
      </c>
      <c r="H2" s="81"/>
      <c r="I2" s="81"/>
      <c r="J2" s="81"/>
      <c r="L2" s="81" t="str">
        <f>'Data Sheet'!$B$1&amp;" - "&amp;HistoricalFs!B38&amp;" Forecasting"</f>
        <v>TATA MOTORS LTD - Earning per share Forecasting</v>
      </c>
      <c r="M2" s="81"/>
      <c r="N2" s="81"/>
      <c r="O2" s="81"/>
    </row>
    <row r="3" spans="2:15" x14ac:dyDescent="0.35">
      <c r="B3" s="60" t="s">
        <v>182</v>
      </c>
      <c r="C3" s="61" t="s">
        <v>183</v>
      </c>
      <c r="D3" s="63" t="s">
        <v>6</v>
      </c>
      <c r="E3" s="63" t="s">
        <v>22</v>
      </c>
      <c r="G3" s="60" t="s">
        <v>182</v>
      </c>
      <c r="H3" s="61" t="s">
        <v>183</v>
      </c>
      <c r="I3" s="63" t="s">
        <v>6</v>
      </c>
      <c r="J3" s="63" t="s">
        <v>22</v>
      </c>
      <c r="L3" s="60" t="s">
        <v>182</v>
      </c>
      <c r="M3" s="61" t="s">
        <v>183</v>
      </c>
      <c r="N3" s="63" t="s">
        <v>6</v>
      </c>
      <c r="O3" s="63" t="s">
        <v>22</v>
      </c>
    </row>
    <row r="4" spans="2:15" x14ac:dyDescent="0.35">
      <c r="B4" s="62">
        <v>1</v>
      </c>
      <c r="C4" s="65">
        <f>'Data Sheet'!B16</f>
        <v>42460</v>
      </c>
      <c r="D4" s="66">
        <f t="array" ref="D4:D13">TRANSPOSE('Data Sheet'!B17:K17)</f>
        <v>273045.59999999998</v>
      </c>
      <c r="G4" s="62">
        <v>1</v>
      </c>
      <c r="H4" s="65">
        <f>'Data Sheet'!$B$16</f>
        <v>42460</v>
      </c>
      <c r="I4" s="66">
        <f t="array" ref="I4:I13">TRANSPOSE(HistoricalFs!C18:M18)</f>
        <v>38450.080000000016</v>
      </c>
      <c r="L4" s="62">
        <v>1</v>
      </c>
      <c r="M4" s="65">
        <f>'Data Sheet'!$B$16</f>
        <v>42460</v>
      </c>
      <c r="N4" s="66">
        <f t="array" ref="N4:N13">TRANSPOSE(HistoricalFs!C38:M38)</f>
        <v>84.733201717927457</v>
      </c>
    </row>
    <row r="5" spans="2:15" x14ac:dyDescent="0.35">
      <c r="B5" s="62">
        <f>B4+1</f>
        <v>2</v>
      </c>
      <c r="C5" s="65">
        <f>C4+365</f>
        <v>42825</v>
      </c>
      <c r="D5" s="66">
        <v>269692.51</v>
      </c>
      <c r="E5" s="67">
        <f>D5/D4-1</f>
        <v>-1.2280329732469508E-2</v>
      </c>
      <c r="G5" s="62">
        <f>G4+1</f>
        <v>2</v>
      </c>
      <c r="H5" s="65">
        <f>H4+365</f>
        <v>42825</v>
      </c>
      <c r="I5" s="66">
        <v>6613.1000000000204</v>
      </c>
      <c r="J5" s="67">
        <f>I5/I4-1</f>
        <v>-0.8280081601910837</v>
      </c>
      <c r="L5" s="62">
        <f>L4+1</f>
        <v>2</v>
      </c>
      <c r="M5" s="65">
        <f>M4+365</f>
        <v>42825</v>
      </c>
      <c r="N5" s="66">
        <v>-27.452429605513725</v>
      </c>
      <c r="O5" s="67">
        <f>N5/N4-1</f>
        <v>-1.3239866905643607</v>
      </c>
    </row>
    <row r="6" spans="2:15" x14ac:dyDescent="0.35">
      <c r="B6" s="62">
        <f t="shared" ref="B6:B18" si="0">B5+1</f>
        <v>3</v>
      </c>
      <c r="C6" s="65">
        <f t="shared" ref="C6:C18" si="1">C5+365</f>
        <v>43190</v>
      </c>
      <c r="D6" s="66">
        <v>291550.48</v>
      </c>
      <c r="E6" s="67">
        <f t="shared" ref="E6:E18" si="2">D6/D5-1</f>
        <v>8.104774581985974E-2</v>
      </c>
      <c r="G6" s="62">
        <f t="shared" ref="G6:G18" si="3">G5+1</f>
        <v>3</v>
      </c>
      <c r="H6" s="65">
        <f t="shared" ref="H6:H18" si="4">H5+365</f>
        <v>43190</v>
      </c>
      <c r="I6" s="66">
        <v>17041.979999999981</v>
      </c>
      <c r="J6" s="67">
        <f t="shared" ref="J6:J18" si="5">I6/I5-1</f>
        <v>1.577003220879758</v>
      </c>
      <c r="L6" s="62">
        <f t="shared" ref="L6:L18" si="6">L5+1</f>
        <v>3</v>
      </c>
      <c r="M6" s="65">
        <f t="shared" ref="M6:M18" si="7">M5+365</f>
        <v>43190</v>
      </c>
      <c r="N6" s="66">
        <v>4.7977695424790641</v>
      </c>
      <c r="O6" s="67">
        <f t="shared" ref="O6:O18" si="8">N6/N5-1</f>
        <v>-1.1747666640593242</v>
      </c>
    </row>
    <row r="7" spans="2:15" x14ac:dyDescent="0.35">
      <c r="B7" s="62">
        <f t="shared" si="0"/>
        <v>4</v>
      </c>
      <c r="C7" s="65">
        <f t="shared" si="1"/>
        <v>43555</v>
      </c>
      <c r="D7" s="66">
        <v>301938.40000000002</v>
      </c>
      <c r="E7" s="67">
        <f t="shared" si="2"/>
        <v>3.5629919045237157E-2</v>
      </c>
      <c r="G7" s="62">
        <f t="shared" si="3"/>
        <v>4</v>
      </c>
      <c r="H7" s="65">
        <f t="shared" si="4"/>
        <v>43555</v>
      </c>
      <c r="I7" s="66">
        <v>57133.789999999986</v>
      </c>
      <c r="J7" s="67">
        <f t="shared" si="5"/>
        <v>2.3525323935364346</v>
      </c>
      <c r="L7" s="62">
        <f t="shared" si="6"/>
        <v>4</v>
      </c>
      <c r="M7" s="65">
        <f t="shared" si="7"/>
        <v>43555</v>
      </c>
      <c r="N7" s="66">
        <v>163.39015689398394</v>
      </c>
      <c r="O7" s="67">
        <f t="shared" si="8"/>
        <v>33.055440855868689</v>
      </c>
    </row>
    <row r="8" spans="2:15" x14ac:dyDescent="0.35">
      <c r="B8" s="62">
        <f t="shared" si="0"/>
        <v>5</v>
      </c>
      <c r="C8" s="65">
        <f t="shared" si="1"/>
        <v>43920</v>
      </c>
      <c r="D8" s="66">
        <v>261067.97</v>
      </c>
      <c r="E8" s="67">
        <f t="shared" si="2"/>
        <v>-0.135360159555724</v>
      </c>
      <c r="G8" s="62">
        <f t="shared" si="3"/>
        <v>5</v>
      </c>
      <c r="H8" s="65">
        <f t="shared" si="4"/>
        <v>43920</v>
      </c>
      <c r="I8" s="66">
        <v>33037.099999999991</v>
      </c>
      <c r="J8" s="67">
        <f t="shared" si="5"/>
        <v>-0.42175899760894564</v>
      </c>
      <c r="L8" s="62">
        <f t="shared" si="6"/>
        <v>5</v>
      </c>
      <c r="M8" s="65">
        <f t="shared" si="7"/>
        <v>43920</v>
      </c>
      <c r="N8" s="66">
        <v>60.047005503399127</v>
      </c>
      <c r="O8" s="67">
        <f t="shared" si="8"/>
        <v>-0.63249312783045575</v>
      </c>
    </row>
    <row r="9" spans="2:15" x14ac:dyDescent="0.35">
      <c r="B9" s="62">
        <f t="shared" si="0"/>
        <v>6</v>
      </c>
      <c r="C9" s="65">
        <f t="shared" si="1"/>
        <v>44285</v>
      </c>
      <c r="D9" s="66">
        <v>249794.75</v>
      </c>
      <c r="E9" s="67">
        <f t="shared" si="2"/>
        <v>-4.3181168490336042E-2</v>
      </c>
      <c r="G9" s="62">
        <f t="shared" si="3"/>
        <v>6</v>
      </c>
      <c r="H9" s="65">
        <f t="shared" si="4"/>
        <v>44285</v>
      </c>
      <c r="I9" s="66">
        <v>4313.4600000000173</v>
      </c>
      <c r="J9" s="67">
        <f t="shared" si="5"/>
        <v>-0.86943587663566058</v>
      </c>
      <c r="L9" s="62">
        <f t="shared" si="6"/>
        <v>6</v>
      </c>
      <c r="M9" s="65">
        <f t="shared" si="7"/>
        <v>44285</v>
      </c>
      <c r="N9" s="66">
        <v>-40.564316477426694</v>
      </c>
      <c r="O9" s="67">
        <f t="shared" si="8"/>
        <v>-1.6755427042091289</v>
      </c>
    </row>
    <row r="10" spans="2:15" x14ac:dyDescent="0.35">
      <c r="B10" s="62">
        <f t="shared" si="0"/>
        <v>7</v>
      </c>
      <c r="C10" s="65">
        <f t="shared" si="1"/>
        <v>44650</v>
      </c>
      <c r="D10" s="66">
        <v>278453.62</v>
      </c>
      <c r="E10" s="67">
        <f t="shared" si="2"/>
        <v>0.11472967306158344</v>
      </c>
      <c r="G10" s="62">
        <f t="shared" si="3"/>
        <v>7</v>
      </c>
      <c r="H10" s="65">
        <f t="shared" si="4"/>
        <v>44650</v>
      </c>
      <c r="I10" s="66">
        <v>-26383.540000000019</v>
      </c>
      <c r="J10" s="67">
        <f t="shared" si="5"/>
        <v>-7.1165607192369729</v>
      </c>
      <c r="L10" s="62">
        <f t="shared" si="6"/>
        <v>7</v>
      </c>
      <c r="M10" s="65">
        <f t="shared" si="7"/>
        <v>44650</v>
      </c>
      <c r="N10" s="66">
        <v>-140.03279429036053</v>
      </c>
      <c r="O10" s="67">
        <f t="shared" si="8"/>
        <v>2.4521176849679258</v>
      </c>
    </row>
    <row r="11" spans="2:15" x14ac:dyDescent="0.35">
      <c r="B11" s="62">
        <f t="shared" si="0"/>
        <v>8</v>
      </c>
      <c r="C11" s="65">
        <f t="shared" si="1"/>
        <v>45015</v>
      </c>
      <c r="D11" s="66">
        <v>345966.97</v>
      </c>
      <c r="E11" s="67">
        <f t="shared" si="2"/>
        <v>0.24245815155859707</v>
      </c>
      <c r="G11" s="62">
        <f t="shared" si="3"/>
        <v>8</v>
      </c>
      <c r="H11" s="65">
        <f t="shared" si="4"/>
        <v>45015</v>
      </c>
      <c r="I11" s="66">
        <v>-28160.560000000027</v>
      </c>
      <c r="J11" s="67">
        <f t="shared" si="5"/>
        <v>6.7353357434218664E-2</v>
      </c>
      <c r="L11" s="62">
        <f t="shared" si="6"/>
        <v>8</v>
      </c>
      <c r="M11" s="65">
        <f t="shared" si="7"/>
        <v>45015</v>
      </c>
      <c r="N11" s="66">
        <v>-135.77544937223382</v>
      </c>
      <c r="O11" s="67">
        <f t="shared" si="8"/>
        <v>-3.0402484930058815E-2</v>
      </c>
    </row>
    <row r="12" spans="2:15" x14ac:dyDescent="0.35">
      <c r="B12" s="62">
        <f t="shared" si="0"/>
        <v>9</v>
      </c>
      <c r="C12" s="65">
        <f t="shared" si="1"/>
        <v>45380</v>
      </c>
      <c r="D12" s="66">
        <v>434016</v>
      </c>
      <c r="E12" s="67">
        <f t="shared" si="2"/>
        <v>0.25450126062612277</v>
      </c>
      <c r="G12" s="62">
        <f t="shared" si="3"/>
        <v>9</v>
      </c>
      <c r="H12" s="65">
        <f t="shared" si="4"/>
        <v>45380</v>
      </c>
      <c r="I12" s="66">
        <v>51395</v>
      </c>
      <c r="J12" s="67">
        <f t="shared" si="5"/>
        <v>-2.8250702400804513</v>
      </c>
      <c r="L12" s="62">
        <f t="shared" si="6"/>
        <v>9</v>
      </c>
      <c r="M12" s="65">
        <f>M11+365</f>
        <v>45380</v>
      </c>
      <c r="N12" s="66">
        <v>127.64689953966965</v>
      </c>
      <c r="O12" s="67">
        <f t="shared" si="8"/>
        <v>-1.9401324033899572</v>
      </c>
    </row>
    <row r="13" spans="2:15" x14ac:dyDescent="0.35">
      <c r="B13" s="62">
        <f t="shared" si="0"/>
        <v>10</v>
      </c>
      <c r="C13" s="65">
        <f t="shared" si="1"/>
        <v>45745</v>
      </c>
      <c r="D13" s="66">
        <v>439695</v>
      </c>
      <c r="E13" s="67">
        <f t="shared" si="2"/>
        <v>1.3084771068347711E-2</v>
      </c>
      <c r="G13" s="62">
        <f t="shared" si="3"/>
        <v>10</v>
      </c>
      <c r="H13" s="65">
        <f t="shared" si="4"/>
        <v>45745</v>
      </c>
      <c r="I13" s="66">
        <v>396025</v>
      </c>
      <c r="J13" s="67">
        <f t="shared" si="5"/>
        <v>6.7055161007880146</v>
      </c>
      <c r="L13" s="62">
        <f t="shared" si="6"/>
        <v>10</v>
      </c>
      <c r="M13" s="65">
        <f t="shared" si="7"/>
        <v>45745</v>
      </c>
      <c r="N13" s="66">
        <v>1019.0557683427051</v>
      </c>
      <c r="O13" s="67">
        <f t="shared" si="8"/>
        <v>6.9833961656546659</v>
      </c>
    </row>
    <row r="14" spans="2:15" x14ac:dyDescent="0.35">
      <c r="B14" s="68">
        <f t="shared" si="0"/>
        <v>11</v>
      </c>
      <c r="C14" s="69">
        <f t="shared" si="1"/>
        <v>46110</v>
      </c>
      <c r="D14" s="70">
        <f>FORECAST(B14,$D$4:$D$13,$B$4:$B$13)</f>
        <v>409204.26066666667</v>
      </c>
      <c r="E14" s="71">
        <f t="shared" si="2"/>
        <v>-6.9345203682855905E-2</v>
      </c>
      <c r="G14" s="68">
        <f t="shared" si="3"/>
        <v>11</v>
      </c>
      <c r="H14" s="69">
        <f t="shared" si="4"/>
        <v>46110</v>
      </c>
      <c r="I14" s="70">
        <f>FORECAST(G14,$I$4:$I$13,$G$4:$G$13)</f>
        <v>155825.18266666663</v>
      </c>
      <c r="J14" s="71">
        <f t="shared" si="5"/>
        <v>-0.60652690444626822</v>
      </c>
      <c r="L14" s="68">
        <f t="shared" si="6"/>
        <v>11</v>
      </c>
      <c r="M14" s="69">
        <f t="shared" si="7"/>
        <v>46110</v>
      </c>
      <c r="N14" s="70">
        <f>FORECAST(L14,$N$4:$N$13,$L$4:$L$13)</f>
        <v>370.94631896385829</v>
      </c>
      <c r="O14" s="71">
        <f t="shared" si="8"/>
        <v>-0.63599016806790676</v>
      </c>
    </row>
    <row r="15" spans="2:15" x14ac:dyDescent="0.35">
      <c r="B15" s="68">
        <f t="shared" si="0"/>
        <v>12</v>
      </c>
      <c r="C15" s="69">
        <f t="shared" si="1"/>
        <v>46475</v>
      </c>
      <c r="D15" s="70">
        <f t="shared" ref="D15:D18" si="9">FORECAST(B15,$D$4:$D$13,$B$4:$B$13)</f>
        <v>426419.19351515151</v>
      </c>
      <c r="E15" s="71">
        <f t="shared" si="2"/>
        <v>4.206929033543938E-2</v>
      </c>
      <c r="G15" s="68">
        <f t="shared" si="3"/>
        <v>12</v>
      </c>
      <c r="H15" s="69">
        <f t="shared" si="4"/>
        <v>46475</v>
      </c>
      <c r="I15" s="70">
        <f t="shared" ref="I15:I18" si="10">FORECAST(G15,$I$4:$I$13,$G$4:$G$13)</f>
        <v>174166.75387878783</v>
      </c>
      <c r="J15" s="71">
        <f t="shared" si="5"/>
        <v>0.11770607868534677</v>
      </c>
      <c r="L15" s="68">
        <f t="shared" si="6"/>
        <v>12</v>
      </c>
      <c r="M15" s="69">
        <f t="shared" si="7"/>
        <v>46475</v>
      </c>
      <c r="N15" s="70">
        <f t="shared" ref="N15:N18" si="11">FORECAST(L15,$N$4:$N$13,$L$4:$L$13)</f>
        <v>418.10299856102108</v>
      </c>
      <c r="O15" s="71">
        <f t="shared" si="8"/>
        <v>0.12712534721703839</v>
      </c>
    </row>
    <row r="16" spans="2:15" x14ac:dyDescent="0.35">
      <c r="B16" s="68">
        <f>B15+1</f>
        <v>13</v>
      </c>
      <c r="C16" s="69">
        <f t="shared" si="1"/>
        <v>46840</v>
      </c>
      <c r="D16" s="70">
        <f t="shared" si="9"/>
        <v>443634.12636363634</v>
      </c>
      <c r="E16" s="71">
        <f t="shared" si="2"/>
        <v>4.0370914607700925E-2</v>
      </c>
      <c r="G16" s="68">
        <f>G15+1</f>
        <v>13</v>
      </c>
      <c r="H16" s="69">
        <f t="shared" si="4"/>
        <v>46840</v>
      </c>
      <c r="I16" s="70">
        <f t="shared" si="10"/>
        <v>192508.32509090906</v>
      </c>
      <c r="J16" s="71">
        <f t="shared" si="5"/>
        <v>0.10531040398723923</v>
      </c>
      <c r="L16" s="68">
        <f>L15+1</f>
        <v>13</v>
      </c>
      <c r="M16" s="69">
        <f t="shared" si="7"/>
        <v>46840</v>
      </c>
      <c r="N16" s="70">
        <f t="shared" si="11"/>
        <v>465.25967815818387</v>
      </c>
      <c r="O16" s="71">
        <f t="shared" si="8"/>
        <v>0.11278723127904189</v>
      </c>
    </row>
    <row r="17" spans="2:15" x14ac:dyDescent="0.35">
      <c r="B17" s="68">
        <f t="shared" si="0"/>
        <v>14</v>
      </c>
      <c r="C17" s="69">
        <f t="shared" si="1"/>
        <v>47205</v>
      </c>
      <c r="D17" s="70">
        <f t="shared" si="9"/>
        <v>460849.05921212118</v>
      </c>
      <c r="E17" s="71">
        <f t="shared" si="2"/>
        <v>3.8804347604165512E-2</v>
      </c>
      <c r="G17" s="68">
        <f t="shared" si="3"/>
        <v>14</v>
      </c>
      <c r="H17" s="69">
        <f t="shared" si="4"/>
        <v>47205</v>
      </c>
      <c r="I17" s="70">
        <f t="shared" si="10"/>
        <v>210849.89630303025</v>
      </c>
      <c r="J17" s="71">
        <f t="shared" si="5"/>
        <v>9.5276768957704538E-2</v>
      </c>
      <c r="L17" s="68">
        <f t="shared" si="6"/>
        <v>14</v>
      </c>
      <c r="M17" s="69">
        <f t="shared" si="7"/>
        <v>47205</v>
      </c>
      <c r="N17" s="70">
        <f t="shared" si="11"/>
        <v>512.41635775534667</v>
      </c>
      <c r="O17" s="71">
        <f t="shared" si="8"/>
        <v>0.10135561238369339</v>
      </c>
    </row>
    <row r="18" spans="2:15" x14ac:dyDescent="0.35">
      <c r="B18" s="68">
        <f t="shared" si="0"/>
        <v>15</v>
      </c>
      <c r="C18" s="69">
        <f t="shared" si="1"/>
        <v>47570</v>
      </c>
      <c r="D18" s="70">
        <f t="shared" si="9"/>
        <v>478063.99206060608</v>
      </c>
      <c r="E18" s="71">
        <f t="shared" si="2"/>
        <v>3.7354818252023803E-2</v>
      </c>
      <c r="G18" s="68">
        <f t="shared" si="3"/>
        <v>15</v>
      </c>
      <c r="H18" s="69">
        <f t="shared" si="4"/>
        <v>47570</v>
      </c>
      <c r="I18" s="70">
        <f t="shared" si="10"/>
        <v>229191.46751515145</v>
      </c>
      <c r="J18" s="71">
        <f t="shared" si="5"/>
        <v>8.6988760884951777E-2</v>
      </c>
      <c r="L18" s="68">
        <f t="shared" si="6"/>
        <v>15</v>
      </c>
      <c r="M18" s="69">
        <f t="shared" si="7"/>
        <v>47570</v>
      </c>
      <c r="N18" s="70">
        <f t="shared" si="11"/>
        <v>559.57303735250946</v>
      </c>
      <c r="O18" s="71">
        <f t="shared" si="8"/>
        <v>9.2028052741590649E-2</v>
      </c>
    </row>
    <row r="19" spans="2:15" x14ac:dyDescent="0.35">
      <c r="B19" s="62"/>
      <c r="C19" s="64"/>
    </row>
    <row r="20" spans="2:15" x14ac:dyDescent="0.35">
      <c r="B20" s="62"/>
      <c r="C20" s="64"/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71F23-6FE7-438B-8259-EF379EF5545D}">
  <sheetPr>
    <tabColor rgb="FF002060"/>
  </sheetPr>
  <dimension ref="A3:M36"/>
  <sheetViews>
    <sheetView showGridLines="0" topLeftCell="A13" workbookViewId="0">
      <selection activeCell="E24" sqref="E24"/>
    </sheetView>
  </sheetViews>
  <sheetFormatPr defaultRowHeight="14.5" x14ac:dyDescent="0.35"/>
  <cols>
    <col min="1" max="1" width="2.26953125" customWidth="1"/>
    <col min="2" max="2" width="21.36328125" bestFit="1" customWidth="1"/>
    <col min="3" max="7" width="11.81640625" bestFit="1" customWidth="1"/>
    <col min="8" max="11" width="10.7265625" bestFit="1" customWidth="1"/>
    <col min="12" max="12" width="10.81640625" bestFit="1" customWidth="1"/>
    <col min="13" max="13" width="9.7265625" bestFit="1" customWidth="1"/>
  </cols>
  <sheetData>
    <row r="3" spans="1:7" x14ac:dyDescent="0.35">
      <c r="A3" s="72"/>
      <c r="B3" s="93" t="s">
        <v>183</v>
      </c>
      <c r="C3" s="93">
        <v>2025</v>
      </c>
      <c r="D3" s="93">
        <v>2026</v>
      </c>
      <c r="E3" s="93">
        <v>2027</v>
      </c>
      <c r="F3" s="93">
        <v>2028</v>
      </c>
      <c r="G3" s="93">
        <v>2029</v>
      </c>
    </row>
    <row r="5" spans="1:7" x14ac:dyDescent="0.35">
      <c r="B5" t="s">
        <v>184</v>
      </c>
      <c r="C5">
        <f>'[1]DCF - Tata Motors'!$B$2</f>
        <v>468720</v>
      </c>
      <c r="D5">
        <f>'[1]DCF - Tata Motors'!$B$3</f>
        <v>501530</v>
      </c>
      <c r="E5">
        <f>'[1]DCF - Tata Motors'!$B$4</f>
        <v>531622</v>
      </c>
      <c r="F5">
        <f>'[1]DCF - Tata Motors'!$B$5</f>
        <v>558203</v>
      </c>
      <c r="G5">
        <f>'[1]DCF - Tata Motors'!$B$6</f>
        <v>586113</v>
      </c>
    </row>
    <row r="7" spans="1:7" x14ac:dyDescent="0.35">
      <c r="B7" t="s">
        <v>185</v>
      </c>
      <c r="C7">
        <f>'[1]DCF - Tata Motors'!$C$2</f>
        <v>60933.599999999999</v>
      </c>
      <c r="D7">
        <f>'[1]DCF - Tata Motors'!$C$3</f>
        <v>65198.9</v>
      </c>
      <c r="E7">
        <f>'[1]DCF - Tata Motors'!$C$4</f>
        <v>69110.86</v>
      </c>
      <c r="F7">
        <f>'[1]DCF - Tata Motors'!$C$5</f>
        <v>72566.39</v>
      </c>
      <c r="G7">
        <f>'[1]DCF - Tata Motors'!$C$6</f>
        <v>76194.69</v>
      </c>
    </row>
    <row r="9" spans="1:7" x14ac:dyDescent="0.35">
      <c r="B9" t="s">
        <v>186</v>
      </c>
      <c r="C9">
        <f>'[1]DCF - Tata Motors'!$D$2</f>
        <v>45700.2</v>
      </c>
      <c r="D9">
        <f>'[1]DCF - Tata Motors'!$D$3</f>
        <v>48899.175000000003</v>
      </c>
      <c r="E9">
        <f>'[1]DCF - Tata Motors'!$D$4</f>
        <v>51833.144999999997</v>
      </c>
      <c r="F9">
        <f>'[1]DCF - Tata Motors'!$D$5</f>
        <v>54424.792500000003</v>
      </c>
      <c r="G9">
        <f>'[1]DCF - Tata Motors'!$D$6</f>
        <v>57146.017500000002</v>
      </c>
    </row>
    <row r="11" spans="1:7" x14ac:dyDescent="0.35">
      <c r="B11" t="s">
        <v>187</v>
      </c>
      <c r="C11">
        <f>'[1]DCF - Tata Motors'!$E$2</f>
        <v>28123.200000000001</v>
      </c>
      <c r="D11">
        <f>'[1]DCF - Tata Motors'!$E$3</f>
        <v>30091.8</v>
      </c>
      <c r="E11">
        <f>'[1]DCF - Tata Motors'!$E$4</f>
        <v>31897.32</v>
      </c>
      <c r="F11">
        <f>'[1]DCF - Tata Motors'!$E$5</f>
        <v>33492.18</v>
      </c>
      <c r="G11">
        <f>'[1]DCF - Tata Motors'!$E$6</f>
        <v>35166.78</v>
      </c>
    </row>
    <row r="13" spans="1:7" x14ac:dyDescent="0.35">
      <c r="B13" t="s">
        <v>188</v>
      </c>
      <c r="C13">
        <f>'[1]DCF - Tata Motors'!$F$2</f>
        <v>32810.400000000001</v>
      </c>
      <c r="D13">
        <f>'[1]DCF - Tata Motors'!$F$3</f>
        <v>35107.100000000013</v>
      </c>
      <c r="E13">
        <f>'[1]DCF - Tata Motors'!$F$4</f>
        <v>37213.54</v>
      </c>
      <c r="F13">
        <f>'[1]DCF - Tata Motors'!$F$5</f>
        <v>39074.210000000006</v>
      </c>
      <c r="G13">
        <f>'[1]DCF - Tata Motors'!$F$6</f>
        <v>41027.910000000003</v>
      </c>
    </row>
    <row r="15" spans="1:7" x14ac:dyDescent="0.35">
      <c r="B15" t="str">
        <f>'[1]DCF - Tata Motors'!$G$1</f>
        <v>ΔWC (2%)</v>
      </c>
      <c r="C15">
        <f>'[1]DCF - Tata Motors'!$G$2</f>
        <v>9374.4</v>
      </c>
      <c r="D15">
        <f>'[1]DCF - Tata Motors'!$G$3</f>
        <v>10030.6</v>
      </c>
      <c r="E15">
        <f>'[1]DCF - Tata Motors'!$G$4</f>
        <v>10632.44</v>
      </c>
      <c r="F15">
        <f>'[1]DCF - Tata Motors'!$G$5</f>
        <v>11164.06</v>
      </c>
      <c r="G15">
        <f>'[1]DCF - Tata Motors'!$G$6</f>
        <v>11722.26</v>
      </c>
    </row>
    <row r="17" spans="2:13" x14ac:dyDescent="0.35">
      <c r="B17" t="str">
        <f>'[1]DCF - Tata Motors'!$H$1</f>
        <v>FCFF</v>
      </c>
      <c r="C17">
        <f>'[1]DCF - Tata Motors'!$H$2</f>
        <v>31638.599999999991</v>
      </c>
      <c r="D17">
        <f>'[1]DCF - Tata Motors'!$H$3</f>
        <v>33853.275000000001</v>
      </c>
      <c r="E17">
        <f>'[1]DCF - Tata Motors'!$H$4</f>
        <v>35884.484999999993</v>
      </c>
      <c r="F17">
        <f>'[1]DCF - Tata Motors'!$H$5</f>
        <v>37678.702499999999</v>
      </c>
      <c r="G17">
        <f>'[1]DCF - Tata Motors'!$H$6</f>
        <v>39562.627500000002</v>
      </c>
    </row>
    <row r="19" spans="2:13" x14ac:dyDescent="0.35">
      <c r="B19" t="str">
        <f>'[1]DCF - Tata Motors'!$I$1</f>
        <v>Discount Factor (11%)</v>
      </c>
      <c r="C19">
        <f>'[1]DCF - Tata Motors'!$I$2</f>
        <v>0.9009009009009008</v>
      </c>
      <c r="D19">
        <f>'[1]DCF - Tata Motors'!$I$3</f>
        <v>0.8116224332440547</v>
      </c>
      <c r="E19">
        <f>'[1]DCF - Tata Motors'!$I$4</f>
        <v>0.73119138130095018</v>
      </c>
      <c r="F19">
        <f>'[1]DCF - Tata Motors'!$I$5</f>
        <v>0.65873097414500015</v>
      </c>
      <c r="G19">
        <f>'[1]DCF - Tata Motors'!$I$6</f>
        <v>0.5934513280585586</v>
      </c>
    </row>
    <row r="21" spans="2:13" x14ac:dyDescent="0.35">
      <c r="B21" t="str">
        <f>'[1]DCF - Tata Motors'!$J$1</f>
        <v>PV of FCFF</v>
      </c>
      <c r="C21">
        <f>'[1]DCF - Tata Motors'!$J$2</f>
        <v>28503.243243243229</v>
      </c>
      <c r="D21">
        <f>'[1]DCF - Tata Motors'!$J$3</f>
        <v>27476.077428780129</v>
      </c>
      <c r="E21">
        <f>'[1]DCF - Tata Motors'!$J$4</f>
        <v>26238.426154423221</v>
      </c>
      <c r="F21">
        <f>'[1]DCF - Tata Motors'!$J$5</f>
        <v>24820.12840234465</v>
      </c>
      <c r="G21">
        <f>'[1]DCF - Tata Motors'!$J$6</f>
        <v>23478.493831361051</v>
      </c>
    </row>
    <row r="25" spans="2:13" x14ac:dyDescent="0.35">
      <c r="B25" s="93" t="s">
        <v>206</v>
      </c>
      <c r="C25" s="94">
        <v>42430</v>
      </c>
      <c r="D25" s="94">
        <v>42795</v>
      </c>
      <c r="E25" s="94">
        <v>43160</v>
      </c>
      <c r="F25" s="94">
        <v>43525</v>
      </c>
      <c r="G25" s="94">
        <v>43891</v>
      </c>
      <c r="H25" s="94">
        <v>44256</v>
      </c>
      <c r="I25" s="94">
        <v>44621</v>
      </c>
      <c r="J25" s="94">
        <v>44986</v>
      </c>
      <c r="K25" s="94">
        <v>45352</v>
      </c>
      <c r="L25" s="94">
        <v>45717</v>
      </c>
      <c r="M25" s="94">
        <v>45901</v>
      </c>
    </row>
    <row r="26" spans="2:13" x14ac:dyDescent="0.35">
      <c r="B26" t="s">
        <v>24</v>
      </c>
      <c r="C26" s="83">
        <f>'Balance Sheet'!B4</f>
        <v>679.18</v>
      </c>
      <c r="D26" s="83">
        <f>'Balance Sheet'!C4</f>
        <v>679.22</v>
      </c>
      <c r="E26" s="83">
        <f>'Balance Sheet'!D4</f>
        <v>679.22</v>
      </c>
      <c r="F26" s="83">
        <f>'Balance Sheet'!E4</f>
        <v>679.22</v>
      </c>
      <c r="G26" s="83">
        <f>'Balance Sheet'!F4</f>
        <v>719.54</v>
      </c>
      <c r="H26" s="83">
        <f>'Balance Sheet'!G4</f>
        <v>765.81</v>
      </c>
      <c r="I26" s="83">
        <f>'Balance Sheet'!H4</f>
        <v>765.88</v>
      </c>
      <c r="J26" s="83">
        <f>'Balance Sheet'!I4</f>
        <v>766.02</v>
      </c>
      <c r="K26" s="83">
        <f>'Balance Sheet'!J4</f>
        <v>767</v>
      </c>
      <c r="L26" s="83">
        <f>'Balance Sheet'!K4</f>
        <v>736</v>
      </c>
      <c r="M26" s="84">
        <f>'Balance Sheet'!L4</f>
        <v>736</v>
      </c>
    </row>
    <row r="27" spans="2:13" x14ac:dyDescent="0.35">
      <c r="B27" t="s">
        <v>25</v>
      </c>
      <c r="C27" s="85">
        <f>'Balance Sheet'!B5</f>
        <v>78273.23</v>
      </c>
      <c r="D27" s="85">
        <f>'Balance Sheet'!C5</f>
        <v>57382.67</v>
      </c>
      <c r="E27" s="85">
        <f>'Balance Sheet'!D5</f>
        <v>94748.69</v>
      </c>
      <c r="F27" s="85">
        <f>'Balance Sheet'!E5</f>
        <v>59500.34</v>
      </c>
      <c r="G27" s="85">
        <f>'Balance Sheet'!F5</f>
        <v>62358.99</v>
      </c>
      <c r="H27" s="85">
        <f>'Balance Sheet'!G5</f>
        <v>54480.91</v>
      </c>
      <c r="I27" s="85">
        <f>'Balance Sheet'!H5</f>
        <v>43795.360000000001</v>
      </c>
      <c r="J27" s="85">
        <f>'Balance Sheet'!I5</f>
        <v>44555.77</v>
      </c>
      <c r="K27" s="85">
        <f>'Balance Sheet'!J5</f>
        <v>84151</v>
      </c>
      <c r="L27" s="85">
        <f>'Balance Sheet'!K5</f>
        <v>115408</v>
      </c>
      <c r="M27" s="86">
        <f>'Balance Sheet'!L5</f>
        <v>9708</v>
      </c>
    </row>
    <row r="28" spans="2:13" x14ac:dyDescent="0.35">
      <c r="B28" t="s">
        <v>62</v>
      </c>
      <c r="C28" s="85">
        <f>'Balance Sheet'!B6</f>
        <v>69359.960000000006</v>
      </c>
      <c r="D28" s="85">
        <f>'Balance Sheet'!C6</f>
        <v>78603.98</v>
      </c>
      <c r="E28" s="85">
        <f>'Balance Sheet'!D6</f>
        <v>88950.47</v>
      </c>
      <c r="F28" s="85">
        <f>'Balance Sheet'!E6</f>
        <v>106175.34</v>
      </c>
      <c r="G28" s="85">
        <f>'Balance Sheet'!F6</f>
        <v>124787.64</v>
      </c>
      <c r="H28" s="85">
        <f>'Balance Sheet'!G6</f>
        <v>142130.57</v>
      </c>
      <c r="I28" s="85">
        <f>'Balance Sheet'!H6</f>
        <v>146449.03</v>
      </c>
      <c r="J28" s="85">
        <f>'Balance Sheet'!I6</f>
        <v>134113.44</v>
      </c>
      <c r="K28" s="85">
        <f>'Balance Sheet'!J6</f>
        <v>107264</v>
      </c>
      <c r="L28" s="85">
        <f>'Balance Sheet'!K6</f>
        <v>71540</v>
      </c>
      <c r="M28" s="86">
        <f>'Balance Sheet'!L6</f>
        <v>5983</v>
      </c>
    </row>
    <row r="29" spans="2:13" ht="15" thickBot="1" x14ac:dyDescent="0.4">
      <c r="B29" t="s">
        <v>63</v>
      </c>
      <c r="C29" s="87">
        <f>'Balance Sheet'!B7</f>
        <v>114871.75</v>
      </c>
      <c r="D29" s="87">
        <f>'Balance Sheet'!C7</f>
        <v>135914.49</v>
      </c>
      <c r="E29" s="87">
        <f>'Balance Sheet'!D7</f>
        <v>142813.43</v>
      </c>
      <c r="F29" s="87">
        <f>'Balance Sheet'!E7</f>
        <v>139348.59</v>
      </c>
      <c r="G29" s="87">
        <f>'Balance Sheet'!F7</f>
        <v>132313.22</v>
      </c>
      <c r="H29" s="87">
        <f>'Balance Sheet'!G7</f>
        <v>144192.62</v>
      </c>
      <c r="I29" s="87">
        <f>'Balance Sheet'!H7</f>
        <v>138051.22</v>
      </c>
      <c r="J29" s="87">
        <f>'Balance Sheet'!I7</f>
        <v>155239.20000000001</v>
      </c>
      <c r="K29" s="87">
        <f>'Balance Sheet'!J7</f>
        <v>177339</v>
      </c>
      <c r="L29" s="87">
        <f>'Balance Sheet'!K7</f>
        <v>189289</v>
      </c>
      <c r="M29" s="88">
        <f>'Balance Sheet'!L7</f>
        <v>22446</v>
      </c>
    </row>
    <row r="30" spans="2:13" ht="15" thickBot="1" x14ac:dyDescent="0.4">
      <c r="B30" s="90" t="s">
        <v>26</v>
      </c>
      <c r="C30" s="91">
        <f>'Balance Sheet'!B8</f>
        <v>263184.12</v>
      </c>
      <c r="D30" s="91">
        <f>'Balance Sheet'!C8</f>
        <v>272580.36</v>
      </c>
      <c r="E30" s="91">
        <f>'Balance Sheet'!D8</f>
        <v>327191.81</v>
      </c>
      <c r="F30" s="91">
        <f>'Balance Sheet'!E8</f>
        <v>305703.49</v>
      </c>
      <c r="G30" s="91">
        <f>'Balance Sheet'!F8</f>
        <v>320179.39</v>
      </c>
      <c r="H30" s="91">
        <f>'Balance Sheet'!G8</f>
        <v>341569.91</v>
      </c>
      <c r="I30" s="91">
        <f>'Balance Sheet'!H8</f>
        <v>329061.49</v>
      </c>
      <c r="J30" s="91">
        <f>'Balance Sheet'!I8</f>
        <v>334674.43</v>
      </c>
      <c r="K30" s="91">
        <f>'Balance Sheet'!J8</f>
        <v>369521</v>
      </c>
      <c r="L30" s="91">
        <f>'Balance Sheet'!K8</f>
        <v>376973</v>
      </c>
      <c r="M30" s="92">
        <f>'Balance Sheet'!L8</f>
        <v>38873</v>
      </c>
    </row>
    <row r="31" spans="2:13" x14ac:dyDescent="0.35">
      <c r="B31" s="2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4"/>
    </row>
    <row r="32" spans="2:13" x14ac:dyDescent="0.35">
      <c r="B32" s="2" t="s">
        <v>27</v>
      </c>
      <c r="C32" s="82">
        <f>'Balance Sheet'!B10</f>
        <v>107231.76</v>
      </c>
      <c r="D32" s="82">
        <f>'Balance Sheet'!C10</f>
        <v>95944.08</v>
      </c>
      <c r="E32" s="82">
        <f>'Balance Sheet'!D10</f>
        <v>121413.86</v>
      </c>
      <c r="F32" s="82">
        <f>'Balance Sheet'!E10</f>
        <v>111234.47</v>
      </c>
      <c r="G32" s="82">
        <f>'Balance Sheet'!F10</f>
        <v>127107.14</v>
      </c>
      <c r="H32" s="82">
        <f>'Balance Sheet'!G10</f>
        <v>138707.60999999999</v>
      </c>
      <c r="I32" s="82">
        <f>'Balance Sheet'!H10</f>
        <v>138855.45000000001</v>
      </c>
      <c r="J32" s="82">
        <f>'Balance Sheet'!I10</f>
        <v>132079.76</v>
      </c>
      <c r="K32" s="82">
        <f>'Balance Sheet'!J10</f>
        <v>121285</v>
      </c>
      <c r="L32" s="82">
        <f>'Balance Sheet'!K10</f>
        <v>115697</v>
      </c>
      <c r="M32" s="82">
        <f>'Balance Sheet'!L10</f>
        <v>13021</v>
      </c>
    </row>
    <row r="33" spans="2:13" x14ac:dyDescent="0.35">
      <c r="B33" s="2" t="s">
        <v>28</v>
      </c>
      <c r="C33" s="82">
        <f>'Balance Sheet'!B11</f>
        <v>25918.94</v>
      </c>
      <c r="D33" s="82">
        <f>'Balance Sheet'!C11</f>
        <v>33698.839999999997</v>
      </c>
      <c r="E33" s="82">
        <f>'Balance Sheet'!D11</f>
        <v>40033.5</v>
      </c>
      <c r="F33" s="82">
        <f>'Balance Sheet'!E11</f>
        <v>31883.84</v>
      </c>
      <c r="G33" s="82">
        <f>'Balance Sheet'!F11</f>
        <v>35622.29</v>
      </c>
      <c r="H33" s="82">
        <f>'Balance Sheet'!G11</f>
        <v>20963.93</v>
      </c>
      <c r="I33" s="82">
        <f>'Balance Sheet'!H11</f>
        <v>10251.09</v>
      </c>
      <c r="J33" s="82">
        <f>'Balance Sheet'!I11</f>
        <v>14274.5</v>
      </c>
      <c r="K33" s="82">
        <f>'Balance Sheet'!J11</f>
        <v>35698</v>
      </c>
      <c r="L33" s="82">
        <f>'Balance Sheet'!K11</f>
        <v>65806</v>
      </c>
      <c r="M33" s="82">
        <f>'Balance Sheet'!L11</f>
        <v>626</v>
      </c>
    </row>
    <row r="34" spans="2:13" x14ac:dyDescent="0.35">
      <c r="B34" s="2" t="s">
        <v>29</v>
      </c>
      <c r="C34" s="82">
        <f>'Balance Sheet'!B12</f>
        <v>23767.02</v>
      </c>
      <c r="D34" s="82">
        <f>'Balance Sheet'!C12</f>
        <v>20337.919999999998</v>
      </c>
      <c r="E34" s="82">
        <f>'Balance Sheet'!D12</f>
        <v>20812.75</v>
      </c>
      <c r="F34" s="82">
        <f>'Balance Sheet'!E12</f>
        <v>15770.72</v>
      </c>
      <c r="G34" s="82">
        <f>'Balance Sheet'!F12</f>
        <v>16308.48</v>
      </c>
      <c r="H34" s="82">
        <f>'Balance Sheet'!G12</f>
        <v>24620.28</v>
      </c>
      <c r="I34" s="82">
        <f>'Balance Sheet'!H12</f>
        <v>29379.53</v>
      </c>
      <c r="J34" s="82">
        <f>'Balance Sheet'!I12</f>
        <v>26379.16</v>
      </c>
      <c r="K34" s="82">
        <f>'Balance Sheet'!J12</f>
        <v>22971</v>
      </c>
      <c r="L34" s="82">
        <f>'Balance Sheet'!K12</f>
        <v>35656</v>
      </c>
      <c r="M34" s="82">
        <f>'Balance Sheet'!L12</f>
        <v>9590</v>
      </c>
    </row>
    <row r="35" spans="2:13" ht="15" thickBot="1" x14ac:dyDescent="0.4">
      <c r="B35" t="s">
        <v>64</v>
      </c>
      <c r="C35" s="87">
        <f>'Balance Sheet'!B13</f>
        <v>106266.4</v>
      </c>
      <c r="D35" s="87">
        <f>'Balance Sheet'!C13</f>
        <v>122599.52</v>
      </c>
      <c r="E35" s="87">
        <f>'Balance Sheet'!D13</f>
        <v>144931.70000000001</v>
      </c>
      <c r="F35" s="87">
        <f>'Balance Sheet'!E13</f>
        <v>146814.46</v>
      </c>
      <c r="G35" s="87">
        <f>'Balance Sheet'!F13</f>
        <v>141141.48000000001</v>
      </c>
      <c r="H35" s="87">
        <f>'Balance Sheet'!G13</f>
        <v>157278.09</v>
      </c>
      <c r="I35" s="87">
        <f>'Balance Sheet'!H13</f>
        <v>150575.42000000001</v>
      </c>
      <c r="J35" s="87">
        <f>'Balance Sheet'!I13</f>
        <v>161941.01</v>
      </c>
      <c r="K35" s="87">
        <f>'Balance Sheet'!J13</f>
        <v>189567</v>
      </c>
      <c r="L35" s="87">
        <f>'Balance Sheet'!K13</f>
        <v>159814</v>
      </c>
      <c r="M35" s="87">
        <f>'Balance Sheet'!L13</f>
        <v>15636</v>
      </c>
    </row>
    <row r="36" spans="2:13" ht="15" thickBot="1" x14ac:dyDescent="0.4">
      <c r="B36" s="90" t="s">
        <v>26</v>
      </c>
      <c r="C36" s="91">
        <f>'Balance Sheet'!B14</f>
        <v>263184.12</v>
      </c>
      <c r="D36" s="91">
        <f>'Balance Sheet'!C14</f>
        <v>272580.36</v>
      </c>
      <c r="E36" s="91">
        <f>'Balance Sheet'!D14</f>
        <v>327191.81</v>
      </c>
      <c r="F36" s="91">
        <f>'Balance Sheet'!E14</f>
        <v>305703.49</v>
      </c>
      <c r="G36" s="91">
        <f>'Balance Sheet'!F14</f>
        <v>320179.39</v>
      </c>
      <c r="H36" s="91">
        <f>'Balance Sheet'!G14</f>
        <v>341569.91</v>
      </c>
      <c r="I36" s="91">
        <f>'Balance Sheet'!H14</f>
        <v>329061.49</v>
      </c>
      <c r="J36" s="91">
        <f>'Balance Sheet'!I14</f>
        <v>334674.43</v>
      </c>
      <c r="K36" s="91">
        <f>'Balance Sheet'!J14</f>
        <v>369521</v>
      </c>
      <c r="L36" s="91">
        <f>'Balance Sheet'!K14</f>
        <v>376973</v>
      </c>
      <c r="M36" s="91">
        <f>'Balance Sheet'!L14</f>
        <v>38873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CA79-5C37-414E-925B-33844AE2576F}">
  <sheetPr>
    <tabColor rgb="FF002060"/>
  </sheetPr>
  <dimension ref="B1:M2"/>
  <sheetViews>
    <sheetView showGridLines="0" tabSelected="1" workbookViewId="0">
      <selection activeCell="B3" sqref="B3"/>
    </sheetView>
  </sheetViews>
  <sheetFormatPr defaultRowHeight="14.5" x14ac:dyDescent="0.35"/>
  <cols>
    <col min="1" max="1" width="2.1796875" customWidth="1"/>
    <col min="2" max="2" width="9.7265625" bestFit="1" customWidth="1"/>
  </cols>
  <sheetData>
    <row r="1" spans="2:13" ht="18.5" x14ac:dyDescent="0.45">
      <c r="B1" s="80" t="s">
        <v>207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95"/>
    </row>
    <row r="2" spans="2:13" x14ac:dyDescent="0.35">
      <c r="B2" s="93" t="s">
        <v>206</v>
      </c>
      <c r="C2" s="94">
        <v>42430</v>
      </c>
      <c r="D2" s="94">
        <v>42795</v>
      </c>
      <c r="E2" s="94">
        <v>43160</v>
      </c>
      <c r="F2" s="94">
        <v>43525</v>
      </c>
      <c r="G2" s="94">
        <v>43891</v>
      </c>
      <c r="H2" s="94">
        <v>44256</v>
      </c>
      <c r="I2" s="94">
        <v>44621</v>
      </c>
      <c r="J2" s="94">
        <v>44986</v>
      </c>
      <c r="K2" s="94">
        <v>45352</v>
      </c>
      <c r="L2" s="94">
        <v>45717</v>
      </c>
      <c r="M2" s="94">
        <v>45901</v>
      </c>
    </row>
  </sheetData>
  <mergeCells count="1">
    <mergeCell ref="B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Profit &amp; Loss</vt:lpstr>
      <vt:lpstr>Quarters</vt:lpstr>
      <vt:lpstr>Balance Sheet</vt:lpstr>
      <vt:lpstr>cash flow screener</vt:lpstr>
      <vt:lpstr>Data Sheet</vt:lpstr>
      <vt:lpstr>HistoricalFs</vt:lpstr>
      <vt:lpstr>Ratio Analysis</vt:lpstr>
      <vt:lpstr>Forecasting</vt:lpstr>
      <vt:lpstr>DCF</vt:lpstr>
      <vt:lpstr>Intrinsic Value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practice</cp:lastModifiedBy>
  <cp:lastPrinted>2012-12-06T18:14:13Z</cp:lastPrinted>
  <dcterms:created xsi:type="dcterms:W3CDTF">2012-08-17T09:55:37Z</dcterms:created>
  <dcterms:modified xsi:type="dcterms:W3CDTF">2026-02-09T16:18:52Z</dcterms:modified>
</cp:coreProperties>
</file>